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icha do Empreendimento" sheetId="1" state="visible" r:id="rId3"/>
    <sheet name="Tabela de Unidades" sheetId="2" state="visible" r:id="rId4"/>
    <sheet name="Parcelas dos Clientes " sheetId="3" state="visible" r:id="rId5"/>
    <sheet name="Distratos " sheetId="4" state="visible" r:id="rId6"/>
    <sheet name="Obras em Andamento (Grupo)" sheetId="5" state="visible" r:id="rId7"/>
    <sheet name="Obras Concluídas (Grupo)" sheetId="6" state="visible" r:id="rId8"/>
    <sheet name="Landbank (Grupo)" sheetId="7" state="visible" r:id="rId9"/>
  </sheets>
  <definedNames>
    <definedName function="false" hidden="false" localSheetId="3" name="_xlnm.Print_Area" vbProcedure="false">'Distratos '!$A$1:$I$13</definedName>
    <definedName function="false" hidden="false" localSheetId="5" name="_xlnm.Print_Area" vbProcedure="false">'Obras Concluídas (Grupo)'!$A$2:$AB$23</definedName>
    <definedName function="false" hidden="false" localSheetId="4" name="_xlnm.Print_Area" vbProcedure="false">'Obras em Andamento (Grupo)'!$A$2:$AE$21</definedName>
    <definedName function="false" hidden="false" localSheetId="1" name="_xlnm.Print_Area" vbProcedure="false">'Tabela de Unidades'!$A$1:$M$10</definedName>
    <definedName function="false" hidden="false" name="DATA" vbProcedure="false">#REF!</definedName>
    <definedName function="false" hidden="false" name="SegmentaçãodeDados_Categoria" vbProcedure="false">cubeset("ThisWorkbookDataModel","{"&amp;"[Base Geral].[Categoria].&amp;[Em Andamento]"&amp;"}")</definedName>
    <definedName function="false" hidden="false" name="SegmentaçãodeDados_Categoria1" vbProcedure="false">cubeset("ThisWorkbookDataModel","{"&amp;"[Base Geral].[Categoria].&amp;[Em Andamento]"&amp;"}")</definedName>
    <definedName function="false" hidden="false" name="SegmentaçãodeDados_Categoria10" vbProcedure="false">cubeset("ThisWorkbookDataModel","{"&amp;"[Base Geral].[Categoria].&amp;[Entregue]"&amp;"}")</definedName>
    <definedName function="false" hidden="false" name="SegmentaçãodeDados_Categoria11" vbProcedure="false">cubeset("ThisWorkbookDataModel","{"&amp;"[Base Geral].[Categoria].&amp;[Entregue]"&amp;"}")</definedName>
    <definedName function="false" hidden="false" name="SegmentaçãodeDados_Categoria12" vbProcedure="false">cubeset("ThisWorkbookDataModel","{"&amp;"[Base Geral].[Categoria].&amp;[Entregue]"&amp;"}")</definedName>
    <definedName function="false" hidden="false" name="SegmentaçãodeDados_Categoria13" vbProcedure="false">cubeset("ThisWorkbookDataModel","{"&amp;"[Base Geral].[Categoria].&amp;[Entregue]"&amp;"}")</definedName>
    <definedName function="false" hidden="false" name="SegmentaçãodeDados_Categoria14" vbProcedure="false">cubeset("ThisWorkbookDataModel","{"&amp;"[Base Geral].[Categoria].&amp;[Entregue]"&amp;"}")</definedName>
    <definedName function="false" hidden="false" name="SegmentaçãodeDados_Categoria15" vbProcedure="false">cubeset("ThisWorkbookDataModel","{"&amp;"[Base Geral].[Categoria].&amp;[Entregue]"&amp;"}")</definedName>
    <definedName function="false" hidden="false" name="SegmentaçãodeDados_Categoria16" vbProcedure="false">cubeset("ThisWorkbookDataModel","{"&amp;"[Base Geral].[Categoria].&amp;[Landbank]"&amp;"}")</definedName>
    <definedName function="false" hidden="false" name="SegmentaçãodeDados_Categoria17" vbProcedure="false">cubeset("ThisWorkbookDataModel","{"&amp;"[Base Geral].[Categoria].&amp;[Entregue]"&amp;"}")</definedName>
    <definedName function="false" hidden="false" name="SegmentaçãodeDados_Categoria18" vbProcedure="false">cubeset("ThisWorkbookDataModel","{"&amp;"[Base Geral].[Categoria].&amp;[Entregue]"&amp;"}")</definedName>
    <definedName function="false" hidden="false" name="SegmentaçãodeDados_Categoria19" vbProcedure="false">cubeset("ThisWorkbookDataModel","{"&amp;"[Base Geral].[Categoria].&amp;[Entregue]"&amp;"}")</definedName>
    <definedName function="false" hidden="false" name="SegmentaçãodeDados_Categoria2" vbProcedure="false">cubeset("ThisWorkbookDataModel","{"&amp;"[Base Geral].[Categoria].&amp;[Em Andamento]"&amp;"}")</definedName>
    <definedName function="false" hidden="false" name="SegmentaçãodeDados_Categoria20" vbProcedure="false">cubeset("ThisWorkbookDataModel","{"&amp;"[Base Geral].[Categoria].&amp;[Entregue]"&amp;"}")</definedName>
    <definedName function="false" hidden="false" name="SegmentaçãodeDados_Categoria21" vbProcedure="false">cubeset("ThisWorkbookDataModel","{"&amp;"[Base Geral].[Categoria].&amp;[Entregue]"&amp;"}")</definedName>
    <definedName function="false" hidden="false" name="SegmentaçãodeDados_Categoria22" vbProcedure="false">cubeset("ThisWorkbookDataModel","{"&amp;"[Base Geral].[Categoria].&amp;[Entregue]"&amp;"}")</definedName>
    <definedName function="false" hidden="false" name="SegmentaçãodeDados_Categoria23" vbProcedure="false">cubeset("ThisWorkbookDataModel","{"&amp;"[Base Geral].[Categoria].&amp;[Entregue]"&amp;"}")</definedName>
    <definedName function="false" hidden="false" name="SegmentaçãodeDados_Categoria24" vbProcedure="false">cubeset("ThisWorkbookDataModel","{"&amp;"[Base Geral].[Categoria].&amp;[Entregue]"&amp;"}")</definedName>
    <definedName function="false" hidden="false" name="SegmentaçãodeDados_Categoria25" vbProcedure="false">cubeset("ThisWorkbookDataModel","{"&amp;"[Base Geral].[Categoria].&amp;[Entregue]"&amp;"}")</definedName>
    <definedName function="false" hidden="false" name="SegmentaçãodeDados_Categoria26" vbProcedure="false">cubeset("ThisWorkbookDataModel","{"&amp;"[Base Geral].[Categoria].&amp;[Landbank]"&amp;"}")</definedName>
    <definedName function="false" hidden="false" name="SegmentaçãodeDados_Categoria27" vbProcedure="false">cubeset("ThisWorkbookDataModel","{"&amp;"[Base Geral].[Categoria].&amp;[Em Andamento]"&amp;"}")</definedName>
    <definedName function="false" hidden="false" name="SegmentaçãodeDados_Categoria28" vbProcedure="false">cubeset("ThisWorkbookDataModel","{"&amp;"[Base Geral].[Categoria].&amp;[Em Andamento]"&amp;"}")</definedName>
    <definedName function="false" hidden="false" name="SegmentaçãodeDados_Categoria29" vbProcedure="false">cubeset("ThisWorkbookDataModel","{"&amp;"[Base Geral].[Categoria].&amp;[Entregue]"&amp;"}")</definedName>
    <definedName function="false" hidden="false" name="SegmentaçãodeDados_Categoria3" vbProcedure="false">cubeset("ThisWorkbookDataModel","{"&amp;"[Base Geral].[Categoria].&amp;[Em Andamento]"&amp;"}")</definedName>
    <definedName function="false" hidden="false" name="SegmentaçãodeDados_Categoria30" vbProcedure="false">cubeset("ThisWorkbookDataModel","{"&amp;"[Base Geral].[Categoria].&amp;[Entregue]"&amp;"}")</definedName>
    <definedName function="false" hidden="false" name="SegmentaçãodeDados_Categoria31" vbProcedure="false">cubeset("ThisWorkbookDataModel","{"&amp;"[Base Geral].[Categoria].&amp;[Entregue]"&amp;"}")</definedName>
    <definedName function="false" hidden="false" name="SegmentaçãodeDados_Categoria32" vbProcedure="false">cubeset("ThisWorkbookDataModel","{"&amp;"[Base Geral].[Categoria].&amp;[Entregue]"&amp;"}")</definedName>
    <definedName function="false" hidden="false" name="SegmentaçãodeDados_Categoria33" vbProcedure="false">cubeset("ThisWorkbookDataModel","{"&amp;"[Base Geral].[Categoria].&amp;[Em Andamento]"&amp;"}")</definedName>
    <definedName function="false" hidden="false" name="SegmentaçãodeDados_Categoria34" vbProcedure="false">cubeset("ThisWorkbookDataModel","{"&amp;"[Base Geral].[Categoria].&amp;[Em Andamento]"&amp;"}")</definedName>
    <definedName function="false" hidden="false" name="SegmentaçãodeDados_Categoria35" vbProcedure="false">cubeset("ThisWorkbookDataModel","{"&amp;"[Base Geral].[Categoria].&amp;[Entregue]"&amp;"}")</definedName>
    <definedName function="false" hidden="false" name="SegmentaçãodeDados_Categoria36" vbProcedure="false">cubeset("ThisWorkbookDataModel","{"&amp;"[Base Geral].[Categoria].&amp;[Entregue]"&amp;"}")</definedName>
    <definedName function="false" hidden="false" name="SegmentaçãodeDados_Categoria37" vbProcedure="false">cubeset("ThisWorkbookDataModel","{"&amp;"[Base Geral].[Categoria].&amp;[Em Andamento]"&amp;"}")</definedName>
    <definedName function="false" hidden="false" name="SegmentaçãodeDados_Categoria38" vbProcedure="false">cubeset("ThisWorkbookDataModel","{"&amp;"[Base Geral].[Categoria].&amp;[Em Andamento]"&amp;"}")</definedName>
    <definedName function="false" hidden="false" name="SegmentaçãodeDados_Categoria39" vbProcedure="false">cubeset("ThisWorkbookDataModel","{"&amp;"[Base Geral].[Categoria].&amp;[Em Andamento]"&amp;"}")</definedName>
    <definedName function="false" hidden="false" name="SegmentaçãodeDados_Categoria4" vbProcedure="false">cubeset("ThisWorkbookDataModel","{"&amp;"[Base Geral].[Categoria].&amp;[Em Andamento]"&amp;"}")</definedName>
    <definedName function="false" hidden="false" name="SegmentaçãodeDados_Categoria40" vbProcedure="false">cubeset("ThisWorkbookDataModel","{"&amp;"[Base Geral].[Categoria].&amp;[Em Andamento]"&amp;"}")</definedName>
    <definedName function="false" hidden="false" name="SegmentaçãodeDados_Categoria41" vbProcedure="false">cubeset("ThisWorkbookDataModel","{"&amp;"[Base Geral].[Categoria].&amp;[Em Andamento]"&amp;"}")</definedName>
    <definedName function="false" hidden="false" name="SegmentaçãodeDados_Categoria42" vbProcedure="false">cubeset("ThisWorkbookDataModel","{"&amp;"[Base Geral].[Categoria].&amp;[Em Andamento]"&amp;"}")</definedName>
    <definedName function="false" hidden="false" name="SegmentaçãodeDados_Categoria43" vbProcedure="false">cubeset("ThisWorkbookDataModel","{"&amp;"[Base Geral].[Categoria].&amp;[Em Andamento]"&amp;"}")</definedName>
    <definedName function="false" hidden="false" name="SegmentaçãodeDados_Categoria44" vbProcedure="false">cubeset("ThisWorkbookDataModel","{"&amp;"[Base Geral].[Categoria].&amp;[Em Andamento]"&amp;"}")</definedName>
    <definedName function="false" hidden="false" name="SegmentaçãodeDados_Categoria45" vbProcedure="false">cubeset("ThisWorkbookDataModel","{"&amp;"[Base Geral].[Categoria].&amp;[Entregue]"&amp;"}")</definedName>
    <definedName function="false" hidden="false" name="SegmentaçãodeDados_Categoria46" vbProcedure="false">cubeset("ThisWorkbookDataModel","{"&amp;"[Base Geral].[Categoria].&amp;[Entregue]"&amp;"}")</definedName>
    <definedName function="false" hidden="false" name="SegmentaçãodeDados_Categoria47" vbProcedure="false">cubeset("ThisWorkbookDataModel","{"&amp;"[Base Geral].[Categoria].&amp;[Entregue]"&amp;"}")</definedName>
    <definedName function="false" hidden="false" name="SegmentaçãodeDados_Categoria48" vbProcedure="false">cubeset("ThisWorkbookDataModel","{"&amp;"[Base Geral].[Categoria].&amp;[Entregue]"&amp;"}")</definedName>
    <definedName function="false" hidden="false" name="SegmentaçãodeDados_Categoria49" vbProcedure="false">cubeset("ThisWorkbookDataModel","{"&amp;"[Base Geral].[Categoria].&amp;[Entregue]"&amp;"}")</definedName>
    <definedName function="false" hidden="false" name="SegmentaçãodeDados_Categoria5" vbProcedure="false">cubeset("ThisWorkbookDataModel","{"&amp;"[Base Geral].[Categoria].&amp;[Em Andamento]"&amp;"}")</definedName>
    <definedName function="false" hidden="false" name="SegmentaçãodeDados_Categoria50" vbProcedure="false">cubeset("ThisWorkbookDataModel","{"&amp;"[Base Geral].[Categoria].&amp;[Entregue]"&amp;"}")</definedName>
    <definedName function="false" hidden="false" name="SegmentaçãodeDados_Categoria51" vbProcedure="false">cubeset("ThisWorkbookDataModel","{"&amp;"[Base Geral].[Categoria].&amp;[Em Andamento]"&amp;"}")</definedName>
    <definedName function="false" hidden="false" name="SegmentaçãodeDados_Categoria52" vbProcedure="false">cubeset("ThisWorkbookDataModel","{"&amp;"[Base Geral].[Categoria].&amp;[Em Andamento]"&amp;"}")</definedName>
    <definedName function="false" hidden="false" name="SegmentaçãodeDados_Categoria53" vbProcedure="false">cubeset("ThisWorkbookDataModel","{"&amp;"[Base Geral].[Categoria].&amp;[Em Andamento]"&amp;"}")</definedName>
    <definedName function="false" hidden="false" name="SegmentaçãodeDados_Categoria54" vbProcedure="false">cubeset("ThisWorkbookDataModel","{"&amp;"[Base Geral].[Categoria].&amp;[Em Andamento]"&amp;"}")</definedName>
    <definedName function="false" hidden="false" name="SegmentaçãodeDados_Categoria55" vbProcedure="false">cubeset("ThisWorkbookDataModel","{"&amp;"[Base Geral].[Categoria].&amp;[Em Andamento]"&amp;"}")</definedName>
    <definedName function="false" hidden="false" name="SegmentaçãodeDados_Categoria56" vbProcedure="false">cubeset("ThisWorkbookDataModel","{"&amp;"[Base Geral].[Categoria].&amp;[Em Andamento]"&amp;"}")</definedName>
    <definedName function="false" hidden="false" name="SegmentaçãodeDados_Categoria57" vbProcedure="false">cubeset("ThisWorkbookDataModel","{"&amp;"[Base Geral].[Categoria].&amp;[Em Andamento]"&amp;"}")</definedName>
    <definedName function="false" hidden="false" name="SegmentaçãodeDados_Categoria58" vbProcedure="false">cubeset("ThisWorkbookDataModel","{"&amp;"[Base Geral].[Categoria].&amp;[Em Andamento]"&amp;"}")</definedName>
    <definedName function="false" hidden="false" name="SegmentaçãodeDados_Categoria59" vbProcedure="false">cubeset("ThisWorkbookDataModel","{"&amp;"[Base Geral].[Categoria].&amp;[Em Andamento]"&amp;"}")</definedName>
    <definedName function="false" hidden="false" name="SegmentaçãodeDados_Categoria6" vbProcedure="false">cubeset("ThisWorkbookDataModel","{"&amp;"[Base Geral].[Categoria].&amp;[Entregue]"&amp;"}")</definedName>
    <definedName function="false" hidden="false" name="SegmentaçãodeDados_Categoria60" vbProcedure="false">cubeset("ThisWorkbookDataModel","{"&amp;"[Base Geral].[Categoria].&amp;[Entregue]"&amp;"}")</definedName>
    <definedName function="false" hidden="false" name="SegmentaçãodeDados_Categoria7" vbProcedure="false">cubeset("ThisWorkbookDataModel","{"&amp;"[Base Geral].[Categoria].&amp;[Entregue]"&amp;"}")</definedName>
    <definedName function="false" hidden="false" name="SegmentaçãodeDados_Categoria8" vbProcedure="false">cubeset("ThisWorkbookDataModel","{"&amp;"[Base Geral].[Categoria].&amp;[Entregue]"&amp;"}")</definedName>
    <definedName function="false" hidden="false" name="SegmentaçãodeDados_Categoria9" vbProcedure="false">cubeset("ThisWorkbookDataModel","{"&amp;"[Base Geral].[Categoria].&amp;[Entregue]"&amp;"}")</definedName>
    <definedName function="false" hidden="false" name="SegmentaçãodeDados_Empreendimento" vbProcedure="false">cubeset("ThisWorkbookDataModel","{"&amp;"[Base Geral].[Empreendimento].&amp;[Fascinio Fiusa]"&amp;"}")</definedName>
    <definedName function="false" hidden="false" name="SegmentaçãodeDados_Empreendimento1" vbProcedure="false">cubeset("ThisWorkbookDataModel","{"&amp;"[Base Geral].[Empreendimento].&amp;[Splendor Fiusa]"&amp;"}")</definedName>
    <definedName function="false" hidden="false" name="SegmentaçãodeDados_Empreendimento10" vbProcedure="false">cubeset("ThisWorkbookDataModel","{"&amp;"[Base Geral].[Empreendimento].&amp;[Alvorada III]"&amp;"}")</definedName>
    <definedName function="false" hidden="false" name="SegmentaçãodeDados_Empreendimento11" vbProcedure="false">cubeset("ThisWorkbookDataModel","{"&amp;"[Base Geral].[Empreendimento].&amp;[Jardim Julia]"&amp;"}")</definedName>
    <definedName function="false" hidden="false" name="SegmentaçãodeDados_Empreendimento12" vbProcedure="false">cubeset("ThisWorkbookDataModel","{"&amp;"[Base Geral].[Empreendimento].&amp;[Horizonte Verde - Terrenos]"&amp;"}")</definedName>
    <definedName function="false" hidden="false" name="SegmentaçãodeDados_Empreendimento13" vbProcedure="false">cubeset("ThisWorkbookDataModel","{"&amp;"[Base Geral].[Empreendimento].&amp;[Quinta do Imperador]"&amp;"}")</definedName>
    <definedName function="false" hidden="false" name="SegmentaçãodeDados_Empreendimento14" vbProcedure="false">cubeset("ThisWorkbookDataModel","{"&amp;"[Base Geral].[Empreendimento].&amp;[Vilaboim]"&amp;"}")</definedName>
    <definedName function="false" hidden="false" name="SegmentaçãodeDados_Empreendimento15" vbProcedure="false">cubeset("ThisWorkbookDataModel","{"&amp;"[Base Geral].[Empreendimento].&amp;[Riviera Village]"&amp;"}")</definedName>
    <definedName function="false" hidden="false" name="SegmentaçãodeDados_Empreendimento16" vbProcedure="false">cubeset("ThisWorkbookDataModel","{"&amp;"[Base Geral].[Empreendimento].&amp;[Atlanta Park]"&amp;"}")</definedName>
    <definedName function="false" hidden="false" name="SegmentaçãodeDados_Empreendimento17" vbProcedure="false">cubeset("ThisWorkbookDataModel","{"&amp;"[Base Geral].[Empreendimento].&amp;[Horizonte Verde - Casas]"&amp;","&amp;"[Base Geral].[Empreendimento].&amp;[Horizonte Verde - Módulos 5 e 6]"&amp;"}")</definedName>
    <definedName function="false" hidden="false" name="SegmentaçãodeDados_Empreendimento18" vbProcedure="false">cubeset("ThisWorkbookDataModel","{"&amp;"[Base Geral].[Empreendimento].&amp;[Santana do Alto]"&amp;"}")</definedName>
    <definedName function="false" hidden="false" name="SegmentaçãodeDados_Empreendimento19" vbProcedure="false">cubeset("ThisWorkbookDataModel","{"&amp;"[Base Geral].[Empreendimento].&amp;[Alto Da Boa Vista]"&amp;"}")</definedName>
    <definedName function="false" hidden="false" name="SegmentaçãodeDados_Empreendimento2" vbProcedure="false">cubeset("ThisWorkbookDataModel","{"&amp;"[Base Geral].[Empreendimento].&amp;[Splendor Fiusa]"&amp;"}")</definedName>
    <definedName function="false" hidden="false" name="SegmentaçãodeDados_Empreendimento20" vbProcedure="false">cubeset("ThisWorkbookDataModel","{"&amp;"[Base Geral].[Empreendimento].&amp;[Alvorada III]"&amp;"}")</definedName>
    <definedName function="false" hidden="false" name="SegmentaçãodeDados_Empreendimento21" vbProcedure="false">cubeset("ThisWorkbookDataModel","{"&amp;"[Base Geral].[Empreendimento].&amp;[Jardim Julia]"&amp;"}")</definedName>
    <definedName function="false" hidden="false" name="SegmentaçãodeDados_Empreendimento22" vbProcedure="false">cubeset("ThisWorkbookDataModel","{"&amp;"[Base Geral].[Empreendimento].&amp;[Horizonte Verde - Terrenos]"&amp;"}")</definedName>
    <definedName function="false" hidden="false" name="SegmentaçãodeDados_Empreendimento23" vbProcedure="false">cubeset("ThisWorkbookDataModel","{"&amp;"[Base Geral].[Empreendimento].&amp;[Quinta do Imperador]"&amp;"}")</definedName>
    <definedName function="false" hidden="false" name="SegmentaçãodeDados_Empreendimento24" vbProcedure="false">cubeset("ThisWorkbookDataModel","{"&amp;"[Base Geral].[Empreendimento].&amp;[Vilaboim]"&amp;"}")</definedName>
    <definedName function="false" hidden="false" name="SegmentaçãodeDados_Empreendimento25" vbProcedure="false">cubeset("ThisWorkbookDataModel","{"&amp;"[Base Geral].[Empreendimento].&amp;[Riviera Village]"&amp;"}")</definedName>
    <definedName function="false" hidden="false" name="SegmentaçãodeDados_Empreendimento26" vbProcedure="false">cubeset("ThisWorkbookDataModel","{"&amp;"[Base Geral].[Empreendimento].&amp;[Atlanta Park]"&amp;"}")</definedName>
    <definedName function="false" hidden="false" name="SegmentaçãodeDados_Empreendimento27" vbProcedure="false">cubeset("ThisWorkbookDataModel","{"&amp;"[Base Geral].[Empreendimento].&amp;[Fascinio Fiusa]"&amp;"}")</definedName>
    <definedName function="false" hidden="false" name="SegmentaçãodeDados_Empreendimento28" vbProcedure="false">cubeset("ThisWorkbookDataModel","{"&amp;"[Base Geral].[Empreendimento].&amp;[Fascinio Fiusa]"&amp;"}")</definedName>
    <definedName function="false" hidden="false" name="SegmentaçãodeDados_Empreendimento29" vbProcedure="false">cubeset("ThisWorkbookDataModel","{"&amp;"[Base Geral].[Empreendimento].&amp;[Alto Da Boa Vista]"&amp;"}")</definedName>
    <definedName function="false" hidden="false" name="SegmentaçãodeDados_Empreendimento3" vbProcedure="false">cubeset("ThisWorkbookDataModel","{"&amp;"[Base Geral].[Empreendimento].&amp;[Reserva Jequitiba]"&amp;"}")</definedName>
    <definedName function="false" hidden="false" name="SegmentaçãodeDados_Empreendimento30" vbProcedure="false">cubeset("ThisWorkbookDataModel","{"&amp;"[Base Geral].[Empreendimento].&amp;[Santana do Alto]"&amp;"}")</definedName>
    <definedName function="false" hidden="false" name="SegmentaçãodeDados_Empreendimento31" vbProcedure="false">cubeset("ThisWorkbookDataModel","{"&amp;"[Base Geral].[Empreendimento].&amp;[Santana do Alto]"&amp;"}")</definedName>
    <definedName function="false" hidden="false" name="SegmentaçãodeDados_Empreendimento32" vbProcedure="false">cubeset("ThisWorkbookDataModel","{"&amp;"[Base Geral].[Empreendimento].&amp;[Vilaboim]"&amp;"}")</definedName>
    <definedName function="false" hidden="false" name="SegmentaçãodeDados_Empreendimento33" vbProcedure="false">cubeset("ThisWorkbookDataModel","{"&amp;"[Base Geral].[Empreendimento].&amp;[Villa D'Agostini]"&amp;"}")</definedName>
    <definedName function="false" hidden="false" name="SegmentaçãodeDados_Empreendimento34" vbProcedure="false">cubeset("ThisWorkbookDataModel","{"&amp;"[Base Geral].[Empreendimento].&amp;[Authoria Trianon]"&amp;"}")</definedName>
    <definedName function="false" hidden="false" name="SegmentaçãodeDados_Empreendimento35" vbProcedure="false">cubeset("ThisWorkbookDataModel","{"&amp;"[Base Geral].[Empreendimento].&amp;[Horizonte Verde - Casas]"&amp;","&amp;"[Base Geral].[Empreendimento].&amp;[Horizonte Verde - Módulos 5 e 6]"&amp;"}")</definedName>
    <definedName function="false" hidden="false" name="SegmentaçãodeDados_Empreendimento36" vbProcedure="false">cubeset("ThisWorkbookDataModel","{"&amp;"[Base Geral].[Empreendimento].&amp;[Atlanta Park]"&amp;"}")</definedName>
    <definedName function="false" hidden="false" name="SegmentaçãodeDados_Empreendimento37" vbProcedure="false">cubeset("ThisWorkbookDataModel","{"&amp;"[Base Geral].[Empreendimento].&amp;[Fascinio Fiusa]"&amp;"}")</definedName>
    <definedName function="false" hidden="false" name="SegmentaçãodeDados_Empreendimento38" vbProcedure="false">cubeset("ThisWorkbookDataModel","{"&amp;"[Base Geral].[Empreendimento].&amp;[Fascinio Fiusa]"&amp;"}")</definedName>
    <definedName function="false" hidden="false" name="SegmentaçãodeDados_Empreendimento39" vbProcedure="false">cubeset("ThisWorkbookDataModel","{"&amp;"[Base Geral].[Empreendimento].&amp;[Splendor Fiusa]"&amp;"}")</definedName>
    <definedName function="false" hidden="false" name="SegmentaçãodeDados_Empreendimento4" vbProcedure="false">cubeset("ThisWorkbookDataModel","{"&amp;"[Base Geral].[Empreendimento].&amp;[Villa Dagostini]"&amp;"}")</definedName>
    <definedName function="false" hidden="false" name="SegmentaçãodeDados_Empreendimento40" vbProcedure="false">cubeset("ThisWorkbookDataModel","{"&amp;"[Base Geral].[Empreendimento].&amp;[Reserva Jequitiba]"&amp;"}")</definedName>
    <definedName function="false" hidden="false" name="SegmentaçãodeDados_Empreendimento41" vbProcedure="false">cubeset("ThisWorkbookDataModel","{"&amp;"[Base Geral].[Empreendimento].&amp;[Villa D'Agostini]"&amp;"}")</definedName>
    <definedName function="false" hidden="false" name="SegmentaçãodeDados_Empreendimento42" vbProcedure="false">cubeset("ThisWorkbookDataModel","{"&amp;"[Base Geral].[Empreendimento].&amp;[Authoria Trianon]"&amp;"}")</definedName>
    <definedName function="false" hidden="false" name="SegmentaçãodeDados_Empreendimento43" vbProcedure="false">cubeset("ThisWorkbookDataModel","{"&amp;"[Base Geral].[Empreendimento].&amp;[Ipê Amarelo - Loteamento]"&amp;","&amp;"[Base Geral].[Empreendimento].&amp;[Ipê Amarelo]"&amp;"}")</definedName>
    <definedName function="false" hidden="false" name="SegmentaçãodeDados_Empreendimento44" vbProcedure="false">cubeset("ThisWorkbookDataModel","{"&amp;"[Base Geral].[Empreendimento].&amp;[Ipê Amarelo - Loteamento]"&amp;","&amp;"[Base Geral].[Empreendimento].&amp;[Ipê Amarelo]"&amp;"}")</definedName>
    <definedName function="false" hidden="false" name="SegmentaçãodeDados_Empreendimento45" vbProcedure="false">cubeset("ThisWorkbookDataModel","{"&amp;"[Base Geral].[Empreendimento].&amp;[Santana do Alto - Terrenos]"&amp;","&amp;"[Base Geral].[Empreendimento].&amp;[Santana do Alto]"&amp;"}")</definedName>
    <definedName function="false" hidden="false" name="SegmentaçãodeDados_Empreendimento46" vbProcedure="false">cubeset("ThisWorkbookDataModel","{"&amp;"[Base Geral].[Empreendimento].&amp;[Alto Da Boa Vista]"&amp;"}")</definedName>
    <definedName function="false" hidden="false" name="SegmentaçãodeDados_Empreendimento47" vbProcedure="false">cubeset("ThisWorkbookDataModel","{"&amp;"[Base Geral].[Empreendimento].&amp;[Horizonte Verde - Terrenos]"&amp;"}")</definedName>
    <definedName function="false" hidden="false" name="SegmentaçãodeDados_Empreendimento48" vbProcedure="false">cubeset("ThisWorkbookDataModel","{"&amp;"[Base Geral].[Empreendimento].&amp;[Quinta do Imperador]"&amp;"}")</definedName>
    <definedName function="false" hidden="false" name="SegmentaçãodeDados_Empreendimento49" vbProcedure="false">cubeset("ThisWorkbookDataModel","{"&amp;"[Base Geral].[Empreendimento].&amp;[Vilaboim]"&amp;"}")</definedName>
    <definedName function="false" hidden="false" name="SegmentaçãodeDados_Empreendimento5" vbProcedure="false">cubeset("ThisWorkbookDataModel","{"&amp;"[Base Geral].[Empreendimento].&amp;[Ipê Amarelo]"&amp;"}")</definedName>
    <definedName function="false" hidden="false" name="SegmentaçãodeDados_Empreendimento50" vbProcedure="false">cubeset("ThisWorkbookDataModel","{"&amp;"[Base Geral].[Empreendimento].&amp;[Riviera Village]"&amp;"}")</definedName>
    <definedName function="false" hidden="false" name="SegmentaçãodeDados_Empreendimento51" vbProcedure="false">cubeset("ThisWorkbookDataModel","{"&amp;"[Base Geral].[Empreendimento].&amp;[Ipê Amarelo - Loteamento]"&amp;","&amp;"[Base Geral].[Empreendimento].&amp;[Ipê Amarelo]"&amp;"}")</definedName>
    <definedName function="false" hidden="false" name="SegmentaçãodeDados_Empreendimento52" vbProcedure="false">cubeset("ThisWorkbookDataModel","{"&amp;"[Base Geral].[Empreendimento].&amp;[Ipê Amarelo - Loteamento]"&amp;","&amp;"[Base Geral].[Empreendimento].&amp;[Ipê Amarelo]"&amp;"}")</definedName>
    <definedName function="false" hidden="false" name="SegmentaçãodeDados_Empreendimento53" vbProcedure="false">cubeset("ThisWorkbookDataModel","{"&amp;"[Base Geral].[Empreendimento].&amp;[Fascinio Fiusa]"&amp;"}")</definedName>
    <definedName function="false" hidden="false" name="SegmentaçãodeDados_Empreendimento54" vbProcedure="false">cubeset("ThisWorkbookDataModel","{"&amp;"[Base Geral].[Empreendimento].&amp;[Splendor Fiusa]"&amp;"}")</definedName>
    <definedName function="false" hidden="false" name="SegmentaçãodeDados_Empreendimento55" vbProcedure="false">cubeset("ThisWorkbookDataModel","{"&amp;"[Base Geral].[Empreendimento].&amp;[Reserva Jequitiba]"&amp;"}")</definedName>
    <definedName function="false" hidden="false" name="SegmentaçãodeDados_Empreendimento56" vbProcedure="false">cubeset("ThisWorkbookDataModel","{"&amp;"[Base Geral].[Empreendimento].&amp;[Villa D'Agostini]"&amp;"}")</definedName>
    <definedName function="false" hidden="false" name="SegmentaçãodeDados_Empreendimento57" vbProcedure="false">cubeset("ThisWorkbookDataModel","{"&amp;"[Base Geral].[Empreendimento].&amp;[Villa D'Agostini]"&amp;"}")</definedName>
    <definedName function="false" hidden="false" name="SegmentaçãodeDados_Empreendimento58" vbProcedure="false">cubeset("ThisWorkbookDataModel","{"&amp;"[Base Geral].[Empreendimento].&amp;[Authoria Trianon]"&amp;"}")</definedName>
    <definedName function="false" hidden="false" name="SegmentaçãodeDados_Empreendimento59" vbProcedure="false">cubeset("ThisWorkbookDataModel","{"&amp;"[Base Geral].[Empreendimento].&amp;[Authoria Trianon]"&amp;"}")</definedName>
    <definedName function="false" hidden="false" name="SegmentaçãodeDados_Empreendimento6" vbProcedure="false">cubeset("ThisWorkbookDataModel","{"&amp;"[Base Geral].[Empreendimento].&amp;[Horizonte Verde - Casas]"&amp;","&amp;"[Base Geral].[Empreendimento].&amp;[Horizonte Verde - Módulos 5 e 6]"&amp;"}")</definedName>
    <definedName function="false" hidden="false" name="SegmentaçãodeDados_Empreendimento60" vbProcedure="false">cubeset("ThisWorkbookDataModel","{"&amp;"[Base Geral].[Empreendimento].&amp;[Quinta do Imperador]"&amp;"}")</definedName>
    <definedName function="false" hidden="false" name="SegmentaçãodeDados_Empreendimento7" vbProcedure="false">cubeset("ThisWorkbookDataModel","{"&amp;"[Base Geral].[Empreendimento].&amp;[Santana do Alto]"&amp;"}")</definedName>
    <definedName function="false" hidden="false" name="SegmentaçãodeDados_Empreendimento8" vbProcedure="false">cubeset("ThisWorkbookDataModel","{"&amp;"[Base Geral].[Empreendimento].&amp;[Alto Da Boa Vista]"&amp;"}")</definedName>
    <definedName function="false" hidden="false" name="SegmentaçãodeDados_Empreendimento9" vbProcedure="false">cubeset("ThisWorkbookDataModel","{"&amp;"[Base Geral].[Empreendimento].&amp;[Alvorada III]"&amp;"}")</definedName>
    <definedName function="false" hidden="false" name="SegmentaçãodeDados_Razão_Social" vbProcedure="false">cubeset("ThisWorkbookDataModel","{"&amp;"[Base Geral].[Razão Social].[All]"&amp;"}")</definedName>
    <definedName function="false" hidden="false" name="SegmentaçãodeDados_Razão_Social1" vbProcedure="false">cubeset("ThisWorkbookDataModel","{"&amp;"[Base Geral].[Razão Social].[All]"&amp;"}")</definedName>
    <definedName function="false" hidden="false" name="SegmentaçãodeDados_Razão_Social10" vbProcedure="false">cubeset("ThisWorkbookDataModel","{"&amp;"[Base Geral].[Razão Social].[All]"&amp;"}")</definedName>
    <definedName function="false" hidden="false" name="SegmentaçãodeDados_Razão_Social11" vbProcedure="false">cubeset("ThisWorkbookDataModel","{"&amp;"[Base Geral].[Razão Social].[All]"&amp;"}")</definedName>
    <definedName function="false" hidden="false" name="SegmentaçãodeDados_Razão_Social12" vbProcedure="false">cubeset("ThisWorkbookDataModel","{"&amp;"[Base Geral].[Razão Social].[All]"&amp;"}")</definedName>
    <definedName function="false" hidden="false" name="SegmentaçãodeDados_Razão_Social13" vbProcedure="false">cubeset("ThisWorkbookDataModel","{"&amp;"[Base Geral].[Razão Social].[All]"&amp;"}")</definedName>
    <definedName function="false" hidden="false" name="SegmentaçãodeDados_Razão_Social14" vbProcedure="false">cubeset("ThisWorkbookDataModel","{"&amp;"[Base Geral].[Razão Social].[All]"&amp;"}")</definedName>
    <definedName function="false" hidden="false" name="SegmentaçãodeDados_Razão_Social15" vbProcedure="false">cubeset("ThisWorkbookDataModel","{"&amp;"[Base Geral].[Razão Social].[All]"&amp;"}")</definedName>
    <definedName function="false" hidden="false" name="SegmentaçãodeDados_Razão_Social16" vbProcedure="false">cubeset("ThisWorkbookDataModel","{"&amp;"[Base Geral].[Razão Social].[All]"&amp;"}")</definedName>
    <definedName function="false" hidden="false" name="SegmentaçãodeDados_Razão_Social17" vbProcedure="false">cubeset("ThisWorkbookDataModel","{"&amp;"[Base Geral].[Razão Social].[All]"&amp;"}")</definedName>
    <definedName function="false" hidden="false" name="SegmentaçãodeDados_Razão_Social18" vbProcedure="false">cubeset("ThisWorkbookDataModel","{"&amp;"[Base Geral].[Razão Social].[All]"&amp;"}")</definedName>
    <definedName function="false" hidden="false" name="SegmentaçãodeDados_Razão_Social19" vbProcedure="false">cubeset("ThisWorkbookDataModel","{"&amp;"[Base Geral].[Razão Social].[All]"&amp;"}")</definedName>
    <definedName function="false" hidden="false" name="SegmentaçãodeDados_Razão_Social2" vbProcedure="false">cubeset("ThisWorkbookDataModel","{"&amp;"[Base Geral].[Razão Social].[All]"&amp;"}")</definedName>
    <definedName function="false" hidden="false" name="SegmentaçãodeDados_Razão_Social20" vbProcedure="false">cubeset("ThisWorkbookDataModel","{"&amp;"[Base Geral].[Razão Social].[All]"&amp;"}")</definedName>
    <definedName function="false" hidden="false" name="SegmentaçãodeDados_Razão_Social21" vbProcedure="false">cubeset("ThisWorkbookDataModel","{"&amp;"[Base Geral].[Razão Social].[All]"&amp;"}")</definedName>
    <definedName function="false" hidden="false" name="SegmentaçãodeDados_Razão_Social22" vbProcedure="false">cubeset("ThisWorkbookDataModel","{"&amp;"[Base Geral].[Razão Social].[All]"&amp;"}")</definedName>
    <definedName function="false" hidden="false" name="SegmentaçãodeDados_Razão_Social23" vbProcedure="false">cubeset("ThisWorkbookDataModel","{"&amp;"[Base Geral].[Razão Social].[All]"&amp;"}")</definedName>
    <definedName function="false" hidden="false" name="SegmentaçãodeDados_Razão_Social24" vbProcedure="false">cubeset("ThisWorkbookDataModel","{"&amp;"[Base Geral].[Razão Social].[All]"&amp;"}")</definedName>
    <definedName function="false" hidden="false" name="SegmentaçãodeDados_Razão_Social25" vbProcedure="false">cubeset("ThisWorkbookDataModel","{"&amp;"[Base Geral].[Razão Social].[All]"&amp;"}")</definedName>
    <definedName function="false" hidden="false" name="SegmentaçãodeDados_Razão_Social26" vbProcedure="false">cubeset("ThisWorkbookDataModel","{"&amp;"[Base Geral].[Razão Social].[All]"&amp;"}")</definedName>
    <definedName function="false" hidden="false" name="SegmentaçãodeDados_Razão_Social27" vbProcedure="false">cubeset("ThisWorkbookDataModel","{"&amp;"[Base Geral].[Razão Social].[All]"&amp;"}")</definedName>
    <definedName function="false" hidden="false" name="SegmentaçãodeDados_Razão_Social28" vbProcedure="false">cubeset("ThisWorkbookDataModel","{"&amp;"[Base Geral].[Razão Social].[All]"&amp;"}")</definedName>
    <definedName function="false" hidden="false" name="SegmentaçãodeDados_Razão_Social29" vbProcedure="false">cubeset("ThisWorkbookDataModel","{"&amp;"[Base Geral].[Razão Social].[All]"&amp;"}")</definedName>
    <definedName function="false" hidden="false" name="SegmentaçãodeDados_Razão_Social3" vbProcedure="false">cubeset("ThisWorkbookDataModel","{"&amp;"[Base Geral].[Razão Social].[All]"&amp;"}")</definedName>
    <definedName function="false" hidden="false" name="SegmentaçãodeDados_Razão_Social30" vbProcedure="false">cubeset("ThisWorkbookDataModel","{"&amp;"[Base Geral].[Razão Social].[All]"&amp;"}")</definedName>
    <definedName function="false" hidden="false" name="SegmentaçãodeDados_Razão_Social31" vbProcedure="false">cubeset("ThisWorkbookDataModel","{"&amp;"[Base Geral].[Razão Social].[All]"&amp;"}")</definedName>
    <definedName function="false" hidden="false" name="SegmentaçãodeDados_Razão_Social32" vbProcedure="false">cubeset("ThisWorkbookDataModel","{"&amp;"[Base Geral].[Razão Social].[All]"&amp;"}")</definedName>
    <definedName function="false" hidden="false" name="SegmentaçãodeDados_Razão_Social33" vbProcedure="false">cubeset("ThisWorkbookDataModel","{"&amp;"[Base Geral].[Razão Social].[All]"&amp;"}")</definedName>
    <definedName function="false" hidden="false" name="SegmentaçãodeDados_Razão_Social34" vbProcedure="false">cubeset("ThisWorkbookDataModel","{"&amp;"[Base Geral].[Razão Social].[All]"&amp;"}")</definedName>
    <definedName function="false" hidden="false" name="SegmentaçãodeDados_Razão_Social35" vbProcedure="false">cubeset("ThisWorkbookDataModel","{"&amp;"[Base Geral].[Razão Social].[All]"&amp;"}")</definedName>
    <definedName function="false" hidden="false" name="SegmentaçãodeDados_Razão_Social36" vbProcedure="false">cubeset("ThisWorkbookDataModel","{"&amp;"[Base Geral].[Razão Social].[All]"&amp;"}")</definedName>
    <definedName function="false" hidden="false" name="SegmentaçãodeDados_Razão_Social37" vbProcedure="false">cubeset("ThisWorkbookDataModel","{"&amp;"[Base Geral].[Razão Social].[All]"&amp;"}")</definedName>
    <definedName function="false" hidden="false" name="SegmentaçãodeDados_Razão_Social38" vbProcedure="false">cubeset("ThisWorkbookDataModel","{"&amp;"[Base Geral].[Razão Social].[All]"&amp;"}")</definedName>
    <definedName function="false" hidden="false" name="SegmentaçãodeDados_Razão_Social39" vbProcedure="false">cubeset("ThisWorkbookDataModel","{"&amp;"[Base Geral].[Razão Social].[All]"&amp;"}")</definedName>
    <definedName function="false" hidden="false" name="SegmentaçãodeDados_Razão_Social4" vbProcedure="false">cubeset("ThisWorkbookDataModel","{"&amp;"[Base Geral].[Razão Social].[All]"&amp;"}")</definedName>
    <definedName function="false" hidden="false" name="SegmentaçãodeDados_Razão_Social40" vbProcedure="false">cubeset("ThisWorkbookDataModel","{"&amp;"[Base Geral].[Razão Social].[All]"&amp;"}")</definedName>
    <definedName function="false" hidden="false" name="SegmentaçãodeDados_Razão_Social41" vbProcedure="false">cubeset("ThisWorkbookDataModel","{"&amp;"[Base Geral].[Razão Social].[All]"&amp;"}")</definedName>
    <definedName function="false" hidden="false" name="SegmentaçãodeDados_Razão_Social42" vbProcedure="false">cubeset("ThisWorkbookDataModel","{"&amp;"[Base Geral].[Razão Social].[All]"&amp;"}")</definedName>
    <definedName function="false" hidden="false" name="SegmentaçãodeDados_Razão_Social43" vbProcedure="false">cubeset("ThisWorkbookDataModel","{"&amp;"[Base Geral].[Razão Social].[All]"&amp;"}")</definedName>
    <definedName function="false" hidden="false" name="SegmentaçãodeDados_Razão_Social44" vbProcedure="false">cubeset("ThisWorkbookDataModel","{"&amp;"[Base Geral].[Razão Social].[All]"&amp;"}")</definedName>
    <definedName function="false" hidden="false" name="SegmentaçãodeDados_Razão_Social45" vbProcedure="false">cubeset("ThisWorkbookDataModel","{"&amp;"[Base Geral].[Razão Social].[All]"&amp;"}")</definedName>
    <definedName function="false" hidden="false" name="SegmentaçãodeDados_Razão_Social46" vbProcedure="false">cubeset("ThisWorkbookDataModel","{"&amp;"[Base Geral].[Razão Social].[All]"&amp;"}")</definedName>
    <definedName function="false" hidden="false" name="SegmentaçãodeDados_Razão_Social47" vbProcedure="false">cubeset("ThisWorkbookDataModel","{"&amp;"[Base Geral].[Razão Social].[All]"&amp;"}")</definedName>
    <definedName function="false" hidden="false" name="SegmentaçãodeDados_Razão_Social48" vbProcedure="false">cubeset("ThisWorkbookDataModel","{"&amp;"[Base Geral].[Razão Social].[All]"&amp;"}")</definedName>
    <definedName function="false" hidden="false" name="SegmentaçãodeDados_Razão_Social49" vbProcedure="false">cubeset("ThisWorkbookDataModel","{"&amp;"[Base Geral].[Razão Social].[All]"&amp;"}")</definedName>
    <definedName function="false" hidden="false" name="SegmentaçãodeDados_Razão_Social5" vbProcedure="false">cubeset("ThisWorkbookDataModel","{"&amp;"[Base Geral].[Razão Social].[All]"&amp;"}")</definedName>
    <definedName function="false" hidden="false" name="SegmentaçãodeDados_Razão_Social50" vbProcedure="false">cubeset("ThisWorkbookDataModel","{"&amp;"[Base Geral].[Razão Social].[All]"&amp;"}")</definedName>
    <definedName function="false" hidden="false" name="SegmentaçãodeDados_Razão_Social51" vbProcedure="false">cubeset("ThisWorkbookDataModel","{"&amp;"[Base Geral].[Razão Social].[All]"&amp;"}")</definedName>
    <definedName function="false" hidden="false" name="SegmentaçãodeDados_Razão_Social52" vbProcedure="false">cubeset("ThisWorkbookDataModel","{"&amp;"[Base Geral].[Razão Social].[All]"&amp;"}")</definedName>
    <definedName function="false" hidden="false" name="SegmentaçãodeDados_Razão_Social53" vbProcedure="false">cubeset("ThisWorkbookDataModel","{"&amp;"[Base Geral].[Razão Social].[All]"&amp;"}")</definedName>
    <definedName function="false" hidden="false" name="SegmentaçãodeDados_Razão_Social54" vbProcedure="false">cubeset("ThisWorkbookDataModel","{"&amp;"[Base Geral].[Razão Social].[All]"&amp;"}")</definedName>
    <definedName function="false" hidden="false" name="SegmentaçãodeDados_Razão_Social55" vbProcedure="false">cubeset("ThisWorkbookDataModel","{"&amp;"[Base Geral].[Razão Social].[All]"&amp;"}")</definedName>
    <definedName function="false" hidden="false" name="SegmentaçãodeDados_Razão_Social56" vbProcedure="false">cubeset("ThisWorkbookDataModel","{"&amp;"[Base Geral].[Razão Social].[All]"&amp;"}")</definedName>
    <definedName function="false" hidden="false" name="SegmentaçãodeDados_Razão_Social57" vbProcedure="false">cubeset("ThisWorkbookDataModel","{"&amp;"[Base Geral].[Razão Social].[All]"&amp;"}")</definedName>
    <definedName function="false" hidden="false" name="SegmentaçãodeDados_Razão_Social58" vbProcedure="false">cubeset("ThisWorkbookDataModel","{"&amp;"[Base Geral].[Razão Social].[All]"&amp;"}")</definedName>
    <definedName function="false" hidden="false" name="SegmentaçãodeDados_Razão_Social59" vbProcedure="false">cubeset("ThisWorkbookDataModel","{"&amp;"[Base Geral].[Razão Social].[All]"&amp;"}")</definedName>
    <definedName function="false" hidden="false" name="SegmentaçãodeDados_Razão_Social6" vbProcedure="false">cubeset("ThisWorkbookDataModel","{"&amp;"[Base Geral].[Razão Social].[All]"&amp;"}")</definedName>
    <definedName function="false" hidden="false" name="SegmentaçãodeDados_Razão_Social60" vbProcedure="false">cubeset("ThisWorkbookDataModel","{"&amp;"[Base Geral].[Razão Social].[All]"&amp;"}")</definedName>
    <definedName function="false" hidden="false" name="SegmentaçãodeDados_Razão_Social7" vbProcedure="false">cubeset("ThisWorkbookDataModel","{"&amp;"[Base Geral].[Razão Social].[All]"&amp;"}")</definedName>
    <definedName function="false" hidden="false" name="SegmentaçãodeDados_Razão_Social8" vbProcedure="false">cubeset("ThisWorkbookDataModel","{"&amp;"[Base Geral].[Razão Social].[All]"&amp;"}")</definedName>
    <definedName function="false" hidden="false" name="SegmentaçãodeDados_Razão_Social9" vbProcedure="false">cubeset("ThisWorkbookDataModel","{"&amp;"[Base Geral].[Razão Social].[All]"&amp;"}")</definedName>
    <definedName function="false" hidden="false" localSheetId="1" name="DATA" vbProcedure="false">#REF!</definedName>
    <definedName function="false" hidden="false" localSheetId="2" name="DATA" vbProcedure="false">#REF!</definedName>
    <definedName function="false" hidden="false" localSheetId="3" name="DAT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<sst xmlns="http://schemas.openxmlformats.org/spreadsheetml/2006/main" count="205" uniqueCount="159">
  <si>
    <t xml:space="preserve">O Projeto</t>
  </si>
  <si>
    <t xml:space="preserve">Viabilidade financeira do emprendimento</t>
  </si>
  <si>
    <t xml:space="preserve">Nome do Empreendimento</t>
  </si>
  <si>
    <t xml:space="preserve">Descritivo financeiro</t>
  </si>
  <si>
    <t xml:space="preserve">Valor (R$)</t>
  </si>
  <si>
    <t xml:space="preserve">Valor (%)</t>
  </si>
  <si>
    <t xml:space="preserve">Nome da SPE</t>
  </si>
  <si>
    <t xml:space="preserve">(+) Receita bruta da venda das unidades (VGV)</t>
  </si>
  <si>
    <t xml:space="preserve">Website do Empreendimento</t>
  </si>
  <si>
    <t xml:space="preserve">(-) Comissões e premiações de venda</t>
  </si>
  <si>
    <t xml:space="preserve">CNPJ da SPE</t>
  </si>
  <si>
    <t xml:space="preserve">(-) Tributos sobre a receita de venda</t>
  </si>
  <si>
    <t xml:space="preserve">Sócios da SPE - Nome - Participação (%)</t>
  </si>
  <si>
    <t xml:space="preserve">(=) Receita líquida da venda das unidades</t>
  </si>
  <si>
    <t xml:space="preserve">(-) Terreno</t>
  </si>
  <si>
    <t xml:space="preserve">(-) Incorporação</t>
  </si>
  <si>
    <t xml:space="preserve">(-) MKT</t>
  </si>
  <si>
    <t xml:space="preserve">(-) Obras totais</t>
  </si>
  <si>
    <t xml:space="preserve">Localização Completa do Empreendimento</t>
  </si>
  <si>
    <t xml:space="preserve">(-) Administração</t>
  </si>
  <si>
    <t xml:space="preserve">Tipo: Incorporação / Loteamento (residencial/comercial/mista)</t>
  </si>
  <si>
    <t xml:space="preserve">(=) Resultado operacional</t>
  </si>
  <si>
    <t xml:space="preserve">Patrimônio de Afetação (Sim ou Não)</t>
  </si>
  <si>
    <t xml:space="preserve">(-) SCP ou mutuo</t>
  </si>
  <si>
    <t xml:space="preserve">Área total em matrícula</t>
  </si>
  <si>
    <t xml:space="preserve">(=) Resultado líquido</t>
  </si>
  <si>
    <t xml:space="preserve">Área Construída</t>
  </si>
  <si>
    <t xml:space="preserve">Valor do Terreno</t>
  </si>
  <si>
    <t xml:space="preserve">Área total do Terreno</t>
  </si>
  <si>
    <t xml:space="preserve">Valor médio das unidades</t>
  </si>
  <si>
    <t xml:space="preserve">Valor médio do m²</t>
  </si>
  <si>
    <t xml:space="preserve">Seguro de obra (qual)</t>
  </si>
  <si>
    <t xml:space="preserve">Data de Lançamento</t>
  </si>
  <si>
    <t xml:space="preserve">Data de Início das Obras</t>
  </si>
  <si>
    <t xml:space="preserve">Data de Previsão do Término de Obras</t>
  </si>
  <si>
    <t xml:space="preserve">Data de Habite-se ou TVO - Previsão Atual</t>
  </si>
  <si>
    <t xml:space="preserve">Possui previsão de  Alienação Fiduciária em contrato  (Sim ou Não)</t>
  </si>
  <si>
    <t xml:space="preserve">Possui Alienação Fiduciária registrada (Sim ou Não)</t>
  </si>
  <si>
    <t xml:space="preserve">VGV</t>
  </si>
  <si>
    <t xml:space="preserve">As Unidades</t>
  </si>
  <si>
    <t xml:space="preserve">Nº de unidades - Lançadas</t>
  </si>
  <si>
    <t xml:space="preserve">Nº de unidades - Venda a prazo (com fluxo de pagamento ativo)</t>
  </si>
  <si>
    <t xml:space="preserve">Nº de unidades - Quitadas</t>
  </si>
  <si>
    <t xml:space="preserve">Nº de unidades - Estoque</t>
  </si>
  <si>
    <t xml:space="preserve">Nº de unidades - Permuta</t>
  </si>
  <si>
    <t xml:space="preserve">Valor Recebido</t>
  </si>
  <si>
    <t xml:space="preserve">Valor a Receber (comercializado)</t>
  </si>
  <si>
    <t xml:space="preserve">Valor em estoque </t>
  </si>
  <si>
    <t xml:space="preserve">Valor permutado</t>
  </si>
  <si>
    <t xml:space="preserve">(%) Vendas (excluindo permuta, se houver)</t>
  </si>
  <si>
    <t xml:space="preserve">Características Recebimento (Incorporação)</t>
  </si>
  <si>
    <t xml:space="preserve">% Entrada </t>
  </si>
  <si>
    <t xml:space="preserve">% Obras</t>
  </si>
  <si>
    <t xml:space="preserve">% Chaves</t>
  </si>
  <si>
    <t xml:space="preserve">Obras (Se Aplicável)</t>
  </si>
  <si>
    <t xml:space="preserve">Orçamento Original (R$)</t>
  </si>
  <si>
    <t xml:space="preserve">Orçamento Atual (R$)</t>
  </si>
  <si>
    <t xml:space="preserve">Custos Incorridos  (R$)</t>
  </si>
  <si>
    <t xml:space="preserve">Custos a Incorrer (R$)</t>
  </si>
  <si>
    <t xml:space="preserve">Cronograma Financeiro Realizado (%)</t>
  </si>
  <si>
    <t xml:space="preserve">Cronograma Físico Realizado (%)</t>
  </si>
  <si>
    <t xml:space="preserve">Empresa (Controladora da SPE, se for o caso)</t>
  </si>
  <si>
    <t xml:space="preserve">Empresa</t>
  </si>
  <si>
    <t xml:space="preserve">Website:</t>
  </si>
  <si>
    <t xml:space="preserve">Fundação:</t>
  </si>
  <si>
    <t xml:space="preserve">Data Base dos Dados</t>
  </si>
  <si>
    <t xml:space="preserve">Nº Contrato</t>
  </si>
  <si>
    <t xml:space="preserve">Empreendimento</t>
  </si>
  <si>
    <t xml:space="preserve">N° Unidade</t>
  </si>
  <si>
    <t xml:space="preserve">Área (m²)</t>
  </si>
  <si>
    <t xml:space="preserve">Nome do Cliente</t>
  </si>
  <si>
    <t xml:space="preserve">CPF/CNPJ</t>
  </si>
  <si>
    <t xml:space="preserve">Data da Venda</t>
  </si>
  <si>
    <t xml:space="preserve">Valor da Venda ou da Tabela</t>
  </si>
  <si>
    <t xml:space="preserve">Status Unidade (vendida, permuta ou estoque</t>
  </si>
  <si>
    <t xml:space="preserve">Indexador</t>
  </si>
  <si>
    <t xml:space="preserve">Taxa de Juros 
(% a.m.)</t>
  </si>
  <si>
    <t xml:space="preserve">Sistema de Amortizaçao</t>
  </si>
  <si>
    <t xml:space="preserve">Nº Unidade</t>
  </si>
  <si>
    <t xml:space="preserve">Nº Parcela</t>
  </si>
  <si>
    <t xml:space="preserve">Data de Vencimento</t>
  </si>
  <si>
    <t xml:space="preserve">Data de Pagamento</t>
  </si>
  <si>
    <t xml:space="preserve">Valor da Parcela</t>
  </si>
  <si>
    <t xml:space="preserve">Lote</t>
  </si>
  <si>
    <t xml:space="preserve">Data do Distrato</t>
  </si>
  <si>
    <t xml:space="preserve">Valor Restituído</t>
  </si>
  <si>
    <t xml:space="preserve">Motivo</t>
  </si>
  <si>
    <t xml:space="preserve">Obras em Andamento - Data Base:</t>
  </si>
  <si>
    <t xml:space="preserve">EMPRESA</t>
  </si>
  <si>
    <t xml:space="preserve">CNPJ:</t>
  </si>
  <si>
    <t xml:space="preserve">BASE R$ MM</t>
  </si>
  <si>
    <t xml:space="preserve">Nº</t>
  </si>
  <si>
    <t xml:space="preserve">EMPREENDIMENTO</t>
  </si>
  <si>
    <t xml:space="preserve">Nº DE UNIDADES</t>
  </si>
  <si>
    <t xml:space="preserve">% Partic</t>
  </si>
  <si>
    <t xml:space="preserve">TIPO
. Resid.
. Comerc.</t>
  </si>
  <si>
    <t xml:space="preserve">DATA DE LANÇAMENTO</t>
  </si>
  <si>
    <t xml:space="preserve">OBRA</t>
  </si>
  <si>
    <t xml:space="preserve">ORIGEM DO
RECURSO
. Próprio
. Nome do Banco</t>
  </si>
  <si>
    <t xml:space="preserve">Valor do financiam.
</t>
  </si>
  <si>
    <t xml:space="preserve">Saldo Devedor
</t>
  </si>
  <si>
    <t xml:space="preserve">Vencimento</t>
  </si>
  <si>
    <t xml:space="preserve">RECEBÍVEIS</t>
  </si>
  <si>
    <t xml:space="preserve">Empresa / Construtora</t>
  </si>
  <si>
    <t xml:space="preserve">SPE ou Nome do Empreendimento</t>
  </si>
  <si>
    <t xml:space="preserve">CNPJ SPE</t>
  </si>
  <si>
    <t xml:space="preserve">Público</t>
  </si>
  <si>
    <t xml:space="preserve">Localização</t>
  </si>
  <si>
    <t xml:space="preserve">Total</t>
  </si>
  <si>
    <t xml:space="preserve">Vendidas</t>
  </si>
  <si>
    <t xml:space="preserve">Estoque</t>
  </si>
  <si>
    <t xml:space="preserve">Permuta</t>
  </si>
  <si>
    <t xml:space="preserve">% Vendido</t>
  </si>
  <si>
    <t xml:space="preserve">Início</t>
  </si>
  <si>
    <t xml:space="preserve">Previsão
Término</t>
  </si>
  <si>
    <t xml:space="preserve">Estágio
Atual Executado %</t>
  </si>
  <si>
    <t xml:space="preserve">Custo Incorrido</t>
  </si>
  <si>
    <t xml:space="preserve">Custo a Incorrer</t>
  </si>
  <si>
    <t xml:space="preserve">Custo Total</t>
  </si>
  <si>
    <t xml:space="preserve">VGV
</t>
  </si>
  <si>
    <t xml:space="preserve">VALOR MÉDIO </t>
  </si>
  <si>
    <t xml:space="preserve">RECEBIDO </t>
  </si>
  <si>
    <t xml:space="preserve">A RECEBER ATÉ A CONCLUSÃO DA OBRA</t>
  </si>
  <si>
    <t xml:space="preserve">PREVISÃO DE REPASSE (valor)
</t>
  </si>
  <si>
    <t xml:space="preserve">Estoque
</t>
  </si>
  <si>
    <t xml:space="preserve">Prazo
(Meses)</t>
  </si>
  <si>
    <t xml:space="preserve">Obras Concluídas - Data Base: </t>
  </si>
  <si>
    <t xml:space="preserve">EMPRESA:</t>
  </si>
  <si>
    <t xml:space="preserve"> EMPREENDIMENTO</t>
  </si>
  <si>
    <t xml:space="preserve">Patic %</t>
  </si>
  <si>
    <t xml:space="preserve">ORIGEM DOS
RECURSOS
. Próprio
. Nome do Banco</t>
  </si>
  <si>
    <t xml:space="preserve">RECEITAS DE VENDAS</t>
  </si>
  <si>
    <t xml:space="preserve">Saldo Devedor</t>
  </si>
  <si>
    <t xml:space="preserve">Vendas</t>
  </si>
  <si>
    <t xml:space="preserve">Permutas</t>
  </si>
  <si>
    <t xml:space="preserve">Lançamento ( Data )</t>
  </si>
  <si>
    <t xml:space="preserve">Ínicio
(Data)</t>
  </si>
  <si>
    <t xml:space="preserve">Término
(Data)</t>
  </si>
  <si>
    <t xml:space="preserve">Preço Médio R$</t>
  </si>
  <si>
    <t xml:space="preserve">Recebidas
</t>
  </si>
  <si>
    <t xml:space="preserve">À Receber
</t>
  </si>
  <si>
    <t xml:space="preserve">À Receber (Repasse)</t>
  </si>
  <si>
    <t xml:space="preserve">Prazo 
Recebiveis
(Meses)</t>
  </si>
  <si>
    <t xml:space="preserve">Valor Estoque</t>
  </si>
  <si>
    <t xml:space="preserve">Landbank - data base: </t>
  </si>
  <si>
    <t xml:space="preserve">Partic %</t>
  </si>
  <si>
    <t xml:space="preserve">TIPO</t>
  </si>
  <si>
    <t xml:space="preserve">Data do Lançamento Prevista</t>
  </si>
  <si>
    <t xml:space="preserve">TERRENO</t>
  </si>
  <si>
    <t xml:space="preserve">Previsão de Início (Data )</t>
  </si>
  <si>
    <t xml:space="preserve">Previsão de Término             ( Data )</t>
  </si>
  <si>
    <t xml:space="preserve">Custo Previsto R$</t>
  </si>
  <si>
    <t xml:space="preserve">VGV Total</t>
  </si>
  <si>
    <t xml:space="preserve">VGV sem permutas</t>
  </si>
  <si>
    <t xml:space="preserve">% a receber durante a obra</t>
  </si>
  <si>
    <t xml:space="preserve">% a receber pós obra</t>
  </si>
  <si>
    <t xml:space="preserve">VALOR DA
 AQUISIÇÃO</t>
  </si>
  <si>
    <t xml:space="preserve">VALOR ATUAL DE MERCADO
 (R$ Mil)</t>
  </si>
  <si>
    <t xml:space="preserve">Tamanho médio do lote</t>
  </si>
</sst>
</file>

<file path=xl/styles.xml><?xml version="1.0" encoding="utf-8"?>
<styleSheet xmlns="http://schemas.openxmlformats.org/spreadsheetml/2006/main">
  <numFmts count="34">
    <numFmt numFmtId="164" formatCode="General"/>
    <numFmt numFmtId="165" formatCode="#,##0.00_);\(#,##0.00\)"/>
    <numFmt numFmtId="166" formatCode="_(* #,##0.00_);_(* \(#,##0.00\);_(* \-??_);_(@_)"/>
    <numFmt numFmtId="167" formatCode="_(* #,##0_);_(* \(#,##0\);_(* \-_);_(@_)"/>
    <numFmt numFmtId="168" formatCode="_(\$* #,##0.00_);_(\$* \(#,##0.00\);_(\$* \-??_);_(@_)"/>
    <numFmt numFmtId="169" formatCode="_(&quot;R$ &quot;* #,##0.00_);_(&quot;R$ &quot;* \(#,##0.00\);_(&quot;R$ &quot;* \-??_);_(@_)"/>
    <numFmt numFmtId="170" formatCode="_(&quot;Cr$&quot;* #,##0_);_(&quot;Cr$&quot;* \(#,##0\);_(&quot;Cr$&quot;* \-_);_(@_)"/>
    <numFmt numFmtId="171" formatCode="mmm\-yy"/>
    <numFmt numFmtId="172" formatCode="_([$€-2]* #,##0.00_);_([$€-2]* \(#,##0.00\);_([$€-2]* \-??_)"/>
    <numFmt numFmtId="173" formatCode="_(#,##0_);\(#,##0\)"/>
    <numFmt numFmtId="174" formatCode="0.00"/>
    <numFmt numFmtId="175" formatCode="_-&quot;R$ &quot;* #,##0.00_-;&quot;-R$ &quot;* #,##0.00_-;_-&quot;R$ &quot;* \-??_-;_-@_-"/>
    <numFmt numFmtId="176" formatCode="_(&quot;Cr$ &quot;* #,##0_);_(&quot;Cr$ &quot;* \(#,##0\);_(&quot;Cr$ &quot;* \-_);_(@_)"/>
    <numFmt numFmtId="177" formatCode="_(&quot;$ &quot;* #,##0_);_(&quot;$ &quot;* \(#,##0\);_(&quot;$ &quot;* \-_);_(@_)"/>
    <numFmt numFmtId="178" formatCode="_(&quot;$ &quot;* #,##0.00_);_(&quot;$ &quot;* \(#,##0.00\);_(&quot;$ &quot;* \-??_);_(@_)"/>
    <numFmt numFmtId="179" formatCode="#,##0;\(0,000\)"/>
    <numFmt numFmtId="180" formatCode="0%"/>
    <numFmt numFmtId="181" formatCode="@"/>
    <numFmt numFmtId="182" formatCode="0.00%"/>
    <numFmt numFmtId="183" formatCode="#,##0"/>
    <numFmt numFmtId="184" formatCode="m/d/yyyy"/>
    <numFmt numFmtId="185" formatCode="dd/mm/yy;@"/>
    <numFmt numFmtId="186" formatCode="d\-mmm\-yy"/>
    <numFmt numFmtId="187" formatCode="[$-416]mmm\-yy;@"/>
    <numFmt numFmtId="188" formatCode="&quot;R$ &quot;#,##0.00"/>
    <numFmt numFmtId="189" formatCode="_-* #,##0_-;\(#,##0\)_-;_-* \-??_-;_-@_-"/>
    <numFmt numFmtId="190" formatCode="&quot;R$ &quot;#,##0.00"/>
    <numFmt numFmtId="191" formatCode="#,##0.00"/>
    <numFmt numFmtId="192" formatCode="_-* #,##0.0000_-;\-* #,##0.0000_-;_-* \-??_-;_-@_-"/>
    <numFmt numFmtId="193" formatCode="_-* #,##0.00_-;\-* #,##0.00_-;_-* \-??_-;_-@_-"/>
    <numFmt numFmtId="194" formatCode="0"/>
    <numFmt numFmtId="195" formatCode="_(* #,##0_);_(* \(#,##0\);_(* \-??_);_(@_)"/>
    <numFmt numFmtId="196" formatCode="_(* #,##0.000_);_(* \(#,##0.000\);_(* \-??_);_(@_)"/>
    <numFmt numFmtId="197" formatCode="0.0%"/>
  </numFmts>
  <fonts count="5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FF9900"/>
      <name val="Calibri"/>
      <family val="2"/>
      <charset val="1"/>
    </font>
    <font>
      <sz val="12"/>
      <color rgb="FF8080FF"/>
      <name val="Arial"/>
      <family val="2"/>
      <charset val="1"/>
    </font>
    <font>
      <sz val="14"/>
      <color rgb="FF8080FF"/>
      <name val="Arial"/>
      <family val="2"/>
      <charset val="1"/>
    </font>
    <font>
      <sz val="14"/>
      <name val="Arial"/>
      <family val="0"/>
      <charset val="1"/>
    </font>
    <font>
      <b val="true"/>
      <sz val="11"/>
      <color rgb="FF00335C"/>
      <name val="Calibri"/>
      <family val="2"/>
      <charset val="1"/>
    </font>
    <font>
      <sz val="8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00335C"/>
      <name val="Calibri"/>
      <family val="2"/>
      <charset val="1"/>
    </font>
    <font>
      <sz val="10"/>
      <name val="Times New Roman"/>
      <family val="1"/>
      <charset val="1"/>
    </font>
    <font>
      <sz val="11"/>
      <color theme="1"/>
      <name val="Calibri"/>
      <family val="2"/>
      <charset val="1"/>
    </font>
    <font>
      <sz val="8"/>
      <name val="Century Gothic"/>
      <family val="2"/>
      <charset val="1"/>
    </font>
    <font>
      <sz val="12"/>
      <name val="Arial"/>
      <family val="2"/>
      <charset val="1"/>
    </font>
    <font>
      <sz val="10"/>
      <name val="Arial"/>
      <family val="2"/>
      <charset val="1"/>
    </font>
    <font>
      <sz val="12"/>
      <name val="Technical"/>
      <family val="0"/>
      <charset val="1"/>
    </font>
    <font>
      <b val="true"/>
      <sz val="11"/>
      <color rgb="FF3333CC"/>
      <name val="Calibri"/>
      <family val="2"/>
      <charset val="1"/>
    </font>
    <font>
      <i val="true"/>
      <sz val="11"/>
      <color rgb="FFFF9900"/>
      <name val="Calibri"/>
      <family val="2"/>
      <charset val="1"/>
    </font>
    <font>
      <sz val="12"/>
      <name val="Times New Roman"/>
      <family val="1"/>
      <charset val="1"/>
    </font>
    <font>
      <b val="true"/>
      <sz val="15"/>
      <color rgb="FF3333CC"/>
      <name val="Calibri"/>
      <family val="2"/>
      <charset val="1"/>
    </font>
    <font>
      <b val="true"/>
      <sz val="13"/>
      <color rgb="FF3333CC"/>
      <name val="Calibri"/>
      <family val="2"/>
      <charset val="1"/>
    </font>
    <font>
      <b val="true"/>
      <sz val="18"/>
      <color rgb="FF8080FF"/>
      <name val="Arial"/>
      <family val="2"/>
      <charset val="1"/>
    </font>
    <font>
      <b val="true"/>
      <sz val="12"/>
      <color rgb="FF8080FF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1"/>
      <color rgb="FF333399"/>
      <name val="Calibri"/>
      <family val="2"/>
      <charset val="1"/>
    </font>
    <font>
      <sz val="11"/>
      <color rgb="FF943C8F"/>
      <name val="Calibri"/>
      <family val="2"/>
      <charset val="1"/>
    </font>
    <font>
      <sz val="10"/>
      <color rgb="FF000000"/>
      <name val="MS Sans Serif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424242"/>
      <name val="Calibri"/>
      <family val="2"/>
      <charset val="1"/>
    </font>
    <font>
      <b val="true"/>
      <sz val="12"/>
      <color rgb="FF000000"/>
      <name val="Arial"/>
      <family val="2"/>
      <charset val="1"/>
    </font>
    <font>
      <sz val="10"/>
      <color rgb="FF8080FF"/>
      <name val="Arial"/>
      <family val="2"/>
      <charset val="1"/>
    </font>
    <font>
      <sz val="11"/>
      <color rgb="FF993300"/>
      <name val="Calibri"/>
      <family val="2"/>
      <charset val="1"/>
    </font>
    <font>
      <b val="true"/>
      <sz val="18"/>
      <color rgb="FF3333CC"/>
      <name val="Cambria"/>
      <family val="2"/>
      <charset val="1"/>
    </font>
    <font>
      <b val="true"/>
      <sz val="10"/>
      <name val="MS Sans Serif"/>
      <family val="2"/>
      <charset val="1"/>
    </font>
    <font>
      <sz val="9"/>
      <name val="Calibri"/>
      <family val="2"/>
      <charset val="1"/>
    </font>
    <font>
      <sz val="11"/>
      <color theme="0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rgb="FF000000"/>
      <name val="Calibri"/>
      <family val="2"/>
      <charset val="1"/>
    </font>
    <font>
      <u val="single"/>
      <sz val="10"/>
      <color theme="10"/>
      <name val="Arial"/>
      <family val="2"/>
      <charset val="1"/>
    </font>
    <font>
      <b val="true"/>
      <sz val="10"/>
      <name val="Arial"/>
      <family val="2"/>
      <charset val="1"/>
    </font>
    <font>
      <sz val="8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0"/>
      <color rgb="FF000000"/>
      <name val="Wingdings"/>
      <family val="0"/>
      <charset val="2"/>
    </font>
    <font>
      <sz val="10"/>
      <name val="Calibri"/>
      <family val="2"/>
      <charset val="1"/>
    </font>
    <font>
      <sz val="18"/>
      <name val="Arial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b val="true"/>
      <sz val="12"/>
      <name val="Arial"/>
      <family val="2"/>
      <charset val="1"/>
    </font>
    <font>
      <sz val="11"/>
      <name val="Arial"/>
      <family val="2"/>
      <charset val="1"/>
    </font>
    <font>
      <i val="true"/>
      <sz val="9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8"/>
      <name val="Calibri"/>
      <family val="2"/>
      <charset val="1"/>
    </font>
  </fonts>
  <fills count="28">
    <fill>
      <patternFill patternType="none"/>
    </fill>
    <fill>
      <patternFill patternType="gray125"/>
    </fill>
    <fill>
      <patternFill patternType="solid">
        <fgColor rgb="FFC0C0FF"/>
        <bgColor rgb="FFA6CAF0"/>
      </patternFill>
    </fill>
    <fill>
      <patternFill patternType="solid">
        <fgColor rgb="FFCC9CCC"/>
        <bgColor rgb="FFCC99FF"/>
      </patternFill>
    </fill>
    <fill>
      <patternFill patternType="solid">
        <fgColor rgb="FFCCFFCC"/>
        <bgColor rgb="FFE3E3E3"/>
      </patternFill>
    </fill>
    <fill>
      <patternFill patternType="solid">
        <fgColor rgb="FFCC99FF"/>
        <bgColor rgb="FFCC9CCC"/>
      </patternFill>
    </fill>
    <fill>
      <patternFill patternType="solid">
        <fgColor rgb="FFA0E0E0"/>
        <bgColor rgb="FFA6CAF0"/>
      </patternFill>
    </fill>
    <fill>
      <patternFill patternType="solid">
        <fgColor rgb="FFE3E3E3"/>
        <bgColor rgb="FFD9D9D9"/>
      </patternFill>
    </fill>
    <fill>
      <patternFill patternType="solid">
        <fgColor rgb="FFA6CAF0"/>
        <bgColor rgb="FFC0C0FF"/>
      </patternFill>
    </fill>
    <fill>
      <patternFill patternType="solid">
        <fgColor rgb="FFFF8080"/>
        <bgColor rgb="FFCC9CCC"/>
      </patternFill>
    </fill>
    <fill>
      <patternFill patternType="solid">
        <fgColor rgb="FF00FF00"/>
        <bgColor rgb="FF00B050"/>
      </patternFill>
    </fill>
    <fill>
      <patternFill patternType="solid">
        <fgColor rgb="FF999933"/>
        <bgColor rgb="FF969696"/>
      </patternFill>
    </fill>
    <fill>
      <patternFill patternType="solid">
        <fgColor rgb="FF0080C0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00335C"/>
        <bgColor rgb="FF003300"/>
      </patternFill>
    </fill>
    <fill>
      <patternFill patternType="solid">
        <fgColor rgb="FF333399"/>
        <bgColor rgb="FF3333CC"/>
      </patternFill>
    </fill>
    <fill>
      <patternFill patternType="solid">
        <fgColor rgb="FF993300"/>
        <bgColor rgb="FF993366"/>
      </patternFill>
    </fill>
    <fill>
      <patternFill patternType="solid">
        <fgColor rgb="FF336666"/>
        <bgColor rgb="FF424242"/>
      </patternFill>
    </fill>
    <fill>
      <patternFill patternType="solid">
        <fgColor rgb="FF006411"/>
        <bgColor rgb="FF0033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999933"/>
      </patternFill>
    </fill>
    <fill>
      <patternFill patternType="solid">
        <fgColor rgb="FFFFFF99"/>
        <bgColor rgb="FFFFFFC0"/>
      </patternFill>
    </fill>
    <fill>
      <patternFill patternType="solid">
        <fgColor rgb="FFFFFFC0"/>
        <bgColor rgb="FFFFFF99"/>
      </patternFill>
    </fill>
    <fill>
      <patternFill patternType="solid">
        <fgColor rgb="FFFFFFFF"/>
        <bgColor rgb="FFF2F2F2"/>
      </patternFill>
    </fill>
    <fill>
      <patternFill patternType="solid">
        <fgColor rgb="FF387FF5"/>
        <bgColor rgb="FF0080C0"/>
      </patternFill>
    </fill>
    <fill>
      <patternFill patternType="solid">
        <fgColor theme="0" tint="-0.05"/>
        <bgColor rgb="FFFFFFFF"/>
      </patternFill>
    </fill>
    <fill>
      <patternFill patternType="solid">
        <fgColor theme="0" tint="-0.25"/>
        <bgColor rgb="FFC0C0C0"/>
      </patternFill>
    </fill>
  </fills>
  <borders count="58">
    <border diagonalUp="false" diagonalDown="false">
      <left/>
      <right/>
      <top/>
      <bottom/>
      <diagonal/>
    </border>
    <border diagonalUp="false" diagonalDown="false"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  <diagonal/>
    </border>
    <border diagonalUp="false" diagonalDown="false">
      <left style="double">
        <color rgb="FF424242"/>
      </left>
      <right style="double">
        <color rgb="FF424242"/>
      </right>
      <top style="double">
        <color rgb="FF424242"/>
      </top>
      <bottom style="double">
        <color rgb="FF424242"/>
      </bottom>
      <diagonal/>
    </border>
    <border diagonalUp="false" diagonalDown="false">
      <left/>
      <right/>
      <top/>
      <bottom style="double">
        <color rgb="FF00335C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8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424242"/>
      </left>
      <right style="thin">
        <color rgb="FF424242"/>
      </right>
      <top style="thin">
        <color rgb="FF424242"/>
      </top>
      <bottom style="thin">
        <color rgb="FF424242"/>
      </bottom>
      <diagonal/>
    </border>
    <border diagonalUp="false" diagonalDown="false">
      <left style="medium"/>
      <right style="hair"/>
      <top/>
      <bottom/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/>
      <diagonal/>
    </border>
    <border diagonalUp="false" diagonalDown="false">
      <left style="thin">
        <color theme="0" tint="-0.15"/>
      </left>
      <right/>
      <top style="thin">
        <color theme="0" tint="-0.15"/>
      </top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>
        <color theme="0" tint="-0.15"/>
      </right>
      <top style="thin">
        <color theme="0" tint="-0.15"/>
      </top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/>
      <diagonal/>
    </border>
    <border diagonalUp="false" diagonalDown="false">
      <left style="thin">
        <color theme="0"/>
      </left>
      <right/>
      <top style="thin">
        <color theme="0"/>
      </top>
      <bottom style="thin">
        <color theme="0"/>
      </bottom>
      <diagonal/>
    </border>
    <border diagonalUp="false" diagonalDown="false">
      <left style="thin">
        <color theme="0" tint="-0.15"/>
      </left>
      <right/>
      <top style="thin">
        <color theme="0" tint="-0.15"/>
      </top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thin"/>
      <top/>
      <bottom style="dotted"/>
      <diagonal/>
    </border>
    <border diagonalUp="false" diagonalDown="false">
      <left style="thin"/>
      <right style="thin"/>
      <top/>
      <bottom style="dotted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dotted"/>
      <diagonal/>
    </border>
    <border diagonalUp="false" diagonalDown="false">
      <left/>
      <right style="thin"/>
      <top/>
      <bottom style="dotted"/>
      <diagonal/>
    </border>
    <border diagonalUp="false" diagonalDown="false">
      <left style="thin"/>
      <right style="medium"/>
      <top/>
      <bottom style="dotted"/>
      <diagonal/>
    </border>
    <border diagonalUp="false" diagonalDown="false">
      <left style="medium"/>
      <right style="thin"/>
      <top style="dotted"/>
      <bottom style="dotted"/>
      <diagonal/>
    </border>
    <border diagonalUp="false" diagonalDown="false">
      <left style="thin"/>
      <right style="thin"/>
      <top style="dotted"/>
      <bottom style="dotted"/>
      <diagonal/>
    </border>
    <border diagonalUp="false" diagonalDown="false">
      <left style="thin"/>
      <right style="thin"/>
      <top style="dotted"/>
      <bottom/>
      <diagonal/>
    </border>
    <border diagonalUp="false" diagonalDown="false">
      <left/>
      <right style="thin"/>
      <top style="hair"/>
      <bottom style="dotted"/>
      <diagonal/>
    </border>
    <border diagonalUp="false" diagonalDown="false">
      <left/>
      <right style="thin"/>
      <top style="dotted"/>
      <bottom style="dotted"/>
      <diagonal/>
    </border>
    <border diagonalUp="false" diagonalDown="false">
      <left/>
      <right/>
      <top style="dotted"/>
      <bottom style="dotted"/>
      <diagonal/>
    </border>
    <border diagonalUp="false" diagonalDown="false">
      <left style="thin"/>
      <right style="medium"/>
      <top style="dotted"/>
      <bottom style="dotted"/>
      <diagonal/>
    </border>
    <border diagonalUp="false" diagonalDown="false">
      <left style="medium"/>
      <right style="thin"/>
      <top style="dotted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hair"/>
      <bottom style="medium"/>
      <diagonal/>
    </border>
    <border diagonalUp="false" diagonalDown="false">
      <left/>
      <right/>
      <top style="hair"/>
      <bottom style="medium"/>
      <diagonal/>
    </border>
    <border diagonalUp="false" diagonalDown="false">
      <left style="thin"/>
      <right style="thin"/>
      <top style="dotted"/>
      <bottom style="medium"/>
      <diagonal/>
    </border>
    <border diagonalUp="false" diagonalDown="false">
      <left style="thin"/>
      <right style="medium"/>
      <top style="dotted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dotted"/>
      <bottom/>
      <diagonal/>
    </border>
    <border diagonalUp="false" diagonalDown="false">
      <left style="thin"/>
      <right style="thin"/>
      <top style="medium"/>
      <bottom style="hair"/>
      <diagonal/>
    </border>
    <border diagonalUp="false" diagonalDown="false">
      <left style="thin"/>
      <right style="thin"/>
      <top style="hair"/>
      <bottom style="dotted"/>
      <diagonal/>
    </border>
    <border diagonalUp="false" diagonalDown="false">
      <left style="medium"/>
      <right style="thin"/>
      <top style="dotted"/>
      <bottom/>
      <diagonal/>
    </border>
    <border diagonalUp="false" diagonalDown="false">
      <left style="medium"/>
      <right/>
      <top style="dotted"/>
      <bottom style="dotted"/>
      <diagonal/>
    </border>
    <border diagonalUp="false" diagonalDown="false">
      <left style="thin"/>
      <right style="thin"/>
      <top style="dashed"/>
      <bottom style="dashed"/>
      <diagonal/>
    </border>
    <border diagonalUp="false" diagonalDown="false">
      <left style="thin"/>
      <right/>
      <top style="dashed"/>
      <bottom style="dashed"/>
      <diagonal/>
    </border>
    <border diagonalUp="false" diagonalDown="false">
      <left style="thin"/>
      <right/>
      <top/>
      <bottom style="dashed"/>
      <diagonal/>
    </border>
    <border diagonalUp="false" diagonalDown="false">
      <left style="thin"/>
      <right style="thin"/>
      <top style="dashed"/>
      <bottom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medium"/>
      <top style="dashed"/>
      <bottom style="dashed"/>
      <diagonal/>
    </border>
    <border diagonalUp="false" diagonalDown="false">
      <left/>
      <right/>
      <top style="dashed"/>
      <bottom/>
      <diagonal/>
    </border>
    <border diagonalUp="false" diagonalDown="false">
      <left/>
      <right style="thin"/>
      <top style="dashed"/>
      <bottom/>
      <diagonal/>
    </border>
    <border diagonalUp="false" diagonalDown="false">
      <left style="thin"/>
      <right/>
      <top style="dashed"/>
      <bottom/>
      <diagonal/>
    </border>
    <border diagonalUp="false" diagonalDown="false">
      <left style="thin"/>
      <right style="medium"/>
      <top style="dashed"/>
      <bottom/>
      <diagonal/>
    </border>
  </borders>
  <cellStyleXfs count="23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80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3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3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2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3" fillId="24" borderId="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2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0" fillId="2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2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5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25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24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24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26" borderId="14" xfId="1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9" fillId="0" borderId="14" xfId="11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9" fillId="0" borderId="14" xfId="17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0" borderId="1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41" fillId="24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4" fontId="41" fillId="2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1" fillId="0" borderId="15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41" fillId="24" borderId="1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2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0" fontId="41" fillId="24" borderId="0" xfId="19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0" fillId="2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41" fillId="24" borderId="14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41" fillId="24" borderId="0" xfId="113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1" fillId="24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1" fillId="24" borderId="14" xfId="11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0" fillId="2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0" fillId="2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5" fontId="44" fillId="24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45" fillId="27" borderId="0" xfId="129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6" fillId="2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45" fillId="27" borderId="0" xfId="129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47" fillId="0" borderId="0" xfId="0" applyFont="true" applyBorder="false" applyAlignment="true" applyProtection="false">
      <alignment horizontal="left" vertical="bottom" textRotation="0" wrapText="false" indent="7" shrinkToFit="false"/>
      <protection locked="true" hidden="false"/>
    </xf>
    <xf numFmtId="164" fontId="46" fillId="2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7" fontId="46" fillId="2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8" fontId="4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1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4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45" fillId="0" borderId="12" xfId="17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2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2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25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5" fillId="0" borderId="12" xfId="9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1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15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20" borderId="19" xfId="1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9" fillId="24" borderId="0" xfId="15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9" fillId="0" borderId="0" xfId="15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15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0" fillId="0" borderId="14" xfId="1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0" fillId="0" borderId="0" xfId="15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15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0" xfId="15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1" fontId="19" fillId="0" borderId="0" xfId="15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15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15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19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15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6" fillId="25" borderId="20" xfId="13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4" fontId="19" fillId="0" borderId="0" xfId="15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25" borderId="20" xfId="13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1" fillId="0" borderId="0" xfId="154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133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1" fillId="0" borderId="21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24" borderId="22" xfId="1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51" fillId="24" borderId="22" xfId="16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81" fontId="51" fillId="24" borderId="22" xfId="16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1" fontId="51" fillId="24" borderId="22" xfId="16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3" fontId="51" fillId="24" borderId="23" xfId="16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51" fillId="24" borderId="24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51" fillId="24" borderId="2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51" fillId="24" borderId="25" xfId="17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51" fillId="24" borderId="25" xfId="174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1" fillId="24" borderId="25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51" fillId="24" borderId="25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1" fillId="24" borderId="25" xfId="16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51" fillId="24" borderId="22" xfId="17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1" fillId="24" borderId="24" xfId="2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1" fillId="24" borderId="22" xfId="2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24" borderId="2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51" fillId="24" borderId="24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51" fillId="24" borderId="2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1" fillId="24" borderId="24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1" fillId="24" borderId="22" xfId="2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2" fontId="51" fillId="24" borderId="22" xfId="2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1" fillId="24" borderId="2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51" fillId="24" borderId="2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3" fontId="51" fillId="24" borderId="25" xfId="2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51" fillId="24" borderId="26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19" fillId="0" borderId="0" xfId="1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19" fillId="0" borderId="0" xfId="15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27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51" fillId="24" borderId="28" xfId="16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83" fontId="51" fillId="24" borderId="29" xfId="16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51" fillId="24" borderId="28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51" fillId="24" borderId="30" xfId="17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1" fillId="24" borderId="31" xfId="16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51" fillId="24" borderId="28" xfId="2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24" borderId="28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51" fillId="24" borderId="3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51" fillId="24" borderId="28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1" fillId="24" borderId="3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1" fillId="24" borderId="28" xfId="2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3" fontId="51" fillId="24" borderId="31" xfId="2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1" fillId="24" borderId="32" xfId="2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5" fontId="51" fillId="24" borderId="22" xfId="2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1" fillId="24" borderId="3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24" borderId="28" xfId="1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0" fontId="51" fillId="0" borderId="0" xfId="17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3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28" xfId="1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3" fontId="51" fillId="0" borderId="28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51" fillId="0" borderId="24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51" fillId="0" borderId="30" xfId="17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51" fillId="0" borderId="31" xfId="17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1" fillId="0" borderId="3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1" fillId="0" borderId="28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51" fillId="0" borderId="28" xfId="17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5" fontId="51" fillId="0" borderId="32" xfId="2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5" fontId="51" fillId="0" borderId="28" xfId="2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5" fontId="51" fillId="0" borderId="32" xfId="2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1" fillId="0" borderId="28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51" fillId="0" borderId="3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5" fontId="51" fillId="0" borderId="28" xfId="2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5" fontId="51" fillId="0" borderId="22" xfId="2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51" fillId="0" borderId="2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24" borderId="33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28" xfId="1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51" fillId="0" borderId="28" xfId="15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51" fillId="0" borderId="24" xfId="15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51" fillId="0" borderId="31" xfId="15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51" fillId="0" borderId="31" xfId="17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5" fontId="51" fillId="0" borderId="24" xfId="2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51" fillId="0" borderId="33" xfId="2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3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51" fillId="0" borderId="32" xfId="15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51" fillId="0" borderId="32" xfId="17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1" fillId="0" borderId="32" xfId="1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1" fillId="0" borderId="28" xfId="1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1" fillId="0" borderId="28" xfId="17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51" fillId="0" borderId="32" xfId="1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51" fillId="0" borderId="28" xfId="1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51" fillId="0" borderId="33" xfId="15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51" fillId="0" borderId="0" xfId="15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34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5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36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51" fillId="0" borderId="36" xfId="15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51" fillId="0" borderId="37" xfId="15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5" fontId="51" fillId="0" borderId="36" xfId="2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5" fontId="51" fillId="0" borderId="37" xfId="2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36" xfId="1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1" fillId="0" borderId="37" xfId="1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1" fillId="0" borderId="36" xfId="1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1" fillId="0" borderId="36" xfId="17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51" fillId="0" borderId="37" xfId="1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51" fillId="0" borderId="36" xfId="1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51" fillId="0" borderId="38" xfId="15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51" fillId="0" borderId="39" xfId="15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4" fillId="0" borderId="40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40" xfId="1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5" fontId="44" fillId="0" borderId="40" xfId="2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4" fillId="0" borderId="40" xfId="2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15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41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24" borderId="29" xfId="1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39" fillId="24" borderId="29" xfId="16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81" fontId="39" fillId="24" borderId="23" xfId="16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81" fontId="39" fillId="24" borderId="23" xfId="16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39" fillId="24" borderId="29" xfId="16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39" fillId="24" borderId="23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39" fillId="24" borderId="4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39" fillId="24" borderId="42" xfId="17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24" borderId="4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39" fillId="24" borderId="4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9" fillId="24" borderId="43" xfId="16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48" fillId="24" borderId="43" xfId="1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9" fillId="24" borderId="28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24" borderId="2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48" fillId="24" borderId="22" xfId="1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48" fillId="24" borderId="23" xfId="1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48" fillId="24" borderId="44" xfId="1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39" fillId="24" borderId="23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39" fillId="24" borderId="2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39" fillId="24" borderId="2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24" borderId="28" xfId="1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39" fillId="24" borderId="45" xfId="16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81" fontId="39" fillId="24" borderId="45" xfId="16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39" fillId="24" borderId="45" xfId="16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39" fillId="24" borderId="45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39" fillId="24" borderId="30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39" fillId="24" borderId="30" xfId="17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24" borderId="30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39" fillId="24" borderId="30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9" fillId="24" borderId="30" xfId="16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48" fillId="24" borderId="30" xfId="1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48" fillId="24" borderId="45" xfId="1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39" fillId="24" borderId="45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39" fillId="24" borderId="22" xfId="16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81" fontId="39" fillId="24" borderId="22" xfId="16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39" fillId="24" borderId="25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39" fillId="24" borderId="25" xfId="17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24" borderId="25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39" fillId="24" borderId="25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9" fillId="24" borderId="25" xfId="16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48" fillId="24" borderId="25" xfId="1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1" fontId="39" fillId="24" borderId="28" xfId="16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1" fontId="39" fillId="24" borderId="31" xfId="16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9" fillId="24" borderId="22" xfId="1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3" fontId="39" fillId="24" borderId="30" xfId="16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0" fontId="39" fillId="24" borderId="30" xfId="174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48" fillId="24" borderId="30" xfId="1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39" fillId="24" borderId="2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9" fillId="24" borderId="28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39" fillId="24" borderId="22" xfId="16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39" fillId="24" borderId="24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48" fillId="24" borderId="31" xfId="1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1" fillId="0" borderId="46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29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29" xfId="1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51" fillId="0" borderId="29" xfId="15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51" fillId="0" borderId="42" xfId="15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1" fillId="0" borderId="43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1" fillId="0" borderId="43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51" fillId="0" borderId="43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43" xfId="1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91" fontId="51" fillId="0" borderId="43" xfId="1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91" fontId="51" fillId="0" borderId="43" xfId="2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5" fontId="50" fillId="0" borderId="43" xfId="2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50" fillId="0" borderId="43" xfId="15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4" fillId="0" borderId="19" xfId="1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44" fillId="0" borderId="19" xfId="1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44" fillId="0" borderId="19" xfId="1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44" fillId="0" borderId="19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44" fillId="0" borderId="19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9" fillId="0" borderId="0" xfId="15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8" fillId="0" borderId="47" xfId="1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48" xfId="1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8" fillId="0" borderId="49" xfId="1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50" xfId="1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39" fillId="0" borderId="29" xfId="16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0" fontId="39" fillId="0" borderId="43" xfId="174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8" fillId="0" borderId="48" xfId="1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8" fillId="0" borderId="51" xfId="1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54" fillId="24" borderId="25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39" fillId="24" borderId="25" xfId="16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39" fillId="24" borderId="25" xfId="2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39" fillId="24" borderId="31" xfId="2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6" fontId="39" fillId="24" borderId="31" xfId="2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7" fontId="39" fillId="24" borderId="31" xfId="17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7" fontId="39" fillId="24" borderId="52" xfId="17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5" fillId="0" borderId="53" xfId="1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45" fillId="0" borderId="53" xfId="1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8" fillId="0" borderId="27" xfId="1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54" xfId="1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55" xfId="1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39" fillId="24" borderId="28" xfId="16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0" fontId="39" fillId="24" borderId="31" xfId="174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53" xfId="1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4" borderId="0" xfId="1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9" fillId="24" borderId="25" xfId="174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49" xfId="1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24" borderId="48" xfId="1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39" fillId="0" borderId="28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39" fillId="0" borderId="31" xfId="17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39" fillId="0" borderId="31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9" fillId="0" borderId="31" xfId="15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5" fontId="39" fillId="0" borderId="31" xfId="15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5" fillId="0" borderId="56" xfId="1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24" borderId="51" xfId="1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39" fillId="0" borderId="29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39" fillId="0" borderId="43" xfId="17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54" fillId="24" borderId="42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39" fillId="0" borderId="43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5" fontId="39" fillId="0" borderId="43" xfId="15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39" fillId="24" borderId="43" xfId="2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6" fontId="39" fillId="24" borderId="43" xfId="2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45" fillId="0" borderId="57" xfId="1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5" fillId="0" borderId="19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5" fillId="0" borderId="19" xfId="1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19" xfId="1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4" fontId="55" fillId="0" borderId="19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4" fontId="55" fillId="0" borderId="19" xfId="1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5" fillId="0" borderId="19" xfId="1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55" fillId="0" borderId="19" xfId="15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55" fillId="0" borderId="19" xfId="1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55" fillId="0" borderId="19" xfId="15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55" fillId="0" borderId="19" xfId="154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2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1"/>
    <cellStyle name="20% - Accent2 2" xfId="22"/>
    <cellStyle name="20% - Accent3 2" xfId="23"/>
    <cellStyle name="20% - Accent4 2" xfId="24"/>
    <cellStyle name="20% - Accent5 2" xfId="25"/>
    <cellStyle name="20% - Accent6 2" xfId="26"/>
    <cellStyle name="20% - Énfasis1" xfId="27"/>
    <cellStyle name="20% - Énfasis2" xfId="28"/>
    <cellStyle name="20% - Énfasis3" xfId="29"/>
    <cellStyle name="20% - Énfasis4" xfId="30"/>
    <cellStyle name="20% - Énfasis5" xfId="31"/>
    <cellStyle name="20% - Énfasis6" xfId="32"/>
    <cellStyle name="40% - Accent1 2" xfId="33"/>
    <cellStyle name="40% - Accent2 2" xfId="34"/>
    <cellStyle name="40% - Accent3 2" xfId="35"/>
    <cellStyle name="40% - Accent4 2" xfId="36"/>
    <cellStyle name="40% - Accent5 2" xfId="37"/>
    <cellStyle name="40% - Accent6 2" xfId="38"/>
    <cellStyle name="40% - Énfasis1" xfId="39"/>
    <cellStyle name="40% - Énfasis2" xfId="40"/>
    <cellStyle name="40% - Énfasis3" xfId="41"/>
    <cellStyle name="40% - Énfasis4" xfId="42"/>
    <cellStyle name="40% - Énfasis5" xfId="43"/>
    <cellStyle name="40% - Énfasis6" xfId="44"/>
    <cellStyle name="60% - Accent1 2" xfId="45"/>
    <cellStyle name="60% - Accent2 2" xfId="46"/>
    <cellStyle name="60% - Accent3 2" xfId="47"/>
    <cellStyle name="60% - Accent4 2" xfId="48"/>
    <cellStyle name="60% - Accent5 2" xfId="49"/>
    <cellStyle name="60% - Accent6 2" xfId="50"/>
    <cellStyle name="60% - Énfasis1" xfId="51"/>
    <cellStyle name="60% - Énfasis2" xfId="52"/>
    <cellStyle name="60% - Énfasis3" xfId="53"/>
    <cellStyle name="60% - Énfasis4" xfId="54"/>
    <cellStyle name="60% - Énfasis5" xfId="55"/>
    <cellStyle name="60% - Énfasis6" xfId="56"/>
    <cellStyle name="Accent1 2" xfId="57"/>
    <cellStyle name="Accent2 2" xfId="58"/>
    <cellStyle name="Accent3 2" xfId="59"/>
    <cellStyle name="Accent4 2" xfId="60"/>
    <cellStyle name="Accent5 2" xfId="61"/>
    <cellStyle name="Accent6 2" xfId="62"/>
    <cellStyle name="Bad 2" xfId="63"/>
    <cellStyle name="Buena" xfId="64"/>
    <cellStyle name="Cabecera 1" xfId="65"/>
    <cellStyle name="Cabecera 2" xfId="66"/>
    <cellStyle name="CabRo - Estilo1" xfId="67"/>
    <cellStyle name="Calculation 2" xfId="68"/>
    <cellStyle name="Cancel" xfId="69"/>
    <cellStyle name="Celda de comprobación" xfId="70"/>
    <cellStyle name="Celda vinculada" xfId="71"/>
    <cellStyle name="Centrado" xfId="72"/>
    <cellStyle name="Check Cell 2" xfId="73"/>
    <cellStyle name="Comma 2" xfId="74"/>
    <cellStyle name="Comma 2 2" xfId="75"/>
    <cellStyle name="Comma 2 2 2" xfId="76"/>
    <cellStyle name="Comma 2 3" xfId="77"/>
    <cellStyle name="Comma 2 3 2" xfId="78"/>
    <cellStyle name="Comma 2 4" xfId="79"/>
    <cellStyle name="Comma 3" xfId="80"/>
    <cellStyle name="Comma 3 2" xfId="81"/>
    <cellStyle name="Comma 3 2 2" xfId="82"/>
    <cellStyle name="Comma 3 3" xfId="83"/>
    <cellStyle name="Comma 4" xfId="84"/>
    <cellStyle name="Comma 4 2" xfId="85"/>
    <cellStyle name="Comma [0] 2" xfId="86"/>
    <cellStyle name="Currency 2" xfId="87"/>
    <cellStyle name="Currency 2 2" xfId="88"/>
    <cellStyle name="Currency 2 2 2" xfId="89"/>
    <cellStyle name="Currency 2 3" xfId="90"/>
    <cellStyle name="Currency 3" xfId="91"/>
    <cellStyle name="Currency [0] 2" xfId="92"/>
    <cellStyle name="data" xfId="93"/>
    <cellStyle name="Encabezado 4" xfId="94"/>
    <cellStyle name="Euro" xfId="95"/>
    <cellStyle name="Explanatory Text 2" xfId="96"/>
    <cellStyle name="Falces1" xfId="97"/>
    <cellStyle name="Fecha" xfId="98"/>
    <cellStyle name="Fijo" xfId="99"/>
    <cellStyle name="Good 2" xfId="100"/>
    <cellStyle name="Heading 1 2" xfId="101"/>
    <cellStyle name="Heading 2 2" xfId="102"/>
    <cellStyle name="Heading 3 2" xfId="103"/>
    <cellStyle name="Heading 4 2" xfId="104"/>
    <cellStyle name="HEADING1" xfId="105"/>
    <cellStyle name="HEADING2" xfId="106"/>
    <cellStyle name="Hyperlink 2" xfId="107"/>
    <cellStyle name="Incorrecto" xfId="108"/>
    <cellStyle name="Input 2" xfId="109"/>
    <cellStyle name="Linked Cell 2" xfId="110"/>
    <cellStyle name="Millares [0]_4°trim'96" xfId="111"/>
    <cellStyle name="Millares_3Q-8" xfId="112"/>
    <cellStyle name="Moeda 2" xfId="113"/>
    <cellStyle name="Moeda 3" xfId="114"/>
    <cellStyle name="Moeda 3 2" xfId="115"/>
    <cellStyle name="Moeda 4" xfId="116"/>
    <cellStyle name="Moeda 4 2" xfId="117"/>
    <cellStyle name="Moeda 5" xfId="118"/>
    <cellStyle name="Moeda 5 2" xfId="119"/>
    <cellStyle name="Moeda 6" xfId="120"/>
    <cellStyle name="Moeda 7" xfId="121"/>
    <cellStyle name="Moeda Z0]_Módulo1" xfId="122"/>
    <cellStyle name="Moneda [0]_4°trim'96" xfId="123"/>
    <cellStyle name="Moneda_4°trim'96" xfId="124"/>
    <cellStyle name="Monetario0" xfId="125"/>
    <cellStyle name="Neutral 2" xfId="126"/>
    <cellStyle name="Normal 10" xfId="127"/>
    <cellStyle name="Normal 10 2" xfId="128"/>
    <cellStyle name="Normal 11" xfId="129"/>
    <cellStyle name="Normal 12" xfId="130"/>
    <cellStyle name="Normal 2" xfId="131"/>
    <cellStyle name="Normal 2 2" xfId="132"/>
    <cellStyle name="Normal 2 2 2" xfId="133"/>
    <cellStyle name="Normal 2 3" xfId="134"/>
    <cellStyle name="Normal 2 3 2" xfId="135"/>
    <cellStyle name="Normal 2 4" xfId="136"/>
    <cellStyle name="Normal 2 5" xfId="137"/>
    <cellStyle name="Normal 3" xfId="138"/>
    <cellStyle name="Normal 3 2" xfId="139"/>
    <cellStyle name="Normal 3 3" xfId="140"/>
    <cellStyle name="Normal 4" xfId="141"/>
    <cellStyle name="Normal 4 2" xfId="142"/>
    <cellStyle name="Normal 4 3" xfId="143"/>
    <cellStyle name="Normal 5" xfId="144"/>
    <cellStyle name="Normal 5 2" xfId="145"/>
    <cellStyle name="Normal 6" xfId="146"/>
    <cellStyle name="Normal 6 2" xfId="147"/>
    <cellStyle name="Normal 6 3" xfId="148"/>
    <cellStyle name="Normal 6 3 2" xfId="149"/>
    <cellStyle name="Normal 6 3 2 2" xfId="150"/>
    <cellStyle name="Normal 6 3 2 2 2" xfId="151"/>
    <cellStyle name="Normal 6 3 2 3" xfId="152"/>
    <cellStyle name="Normal 6 4" xfId="153"/>
    <cellStyle name="Normal 6 5" xfId="154"/>
    <cellStyle name="Normal 7" xfId="155"/>
    <cellStyle name="Normal 8" xfId="156"/>
    <cellStyle name="Normal 8 2" xfId="157"/>
    <cellStyle name="Normal 8 2 2" xfId="158"/>
    <cellStyle name="Normal 9" xfId="159"/>
    <cellStyle name="Normal_Demonstrativo de Imóveis" xfId="160"/>
    <cellStyle name="Notas" xfId="161"/>
    <cellStyle name="Note 2" xfId="162"/>
    <cellStyle name="Output 2" xfId="163"/>
    <cellStyle name="Percent 2" xfId="164"/>
    <cellStyle name="Percent 2 2" xfId="165"/>
    <cellStyle name="Percent 2 2 2" xfId="166"/>
    <cellStyle name="Percent 2 3" xfId="167"/>
    <cellStyle name="Percent 2 3 2" xfId="168"/>
    <cellStyle name="Percent 2 4" xfId="169"/>
    <cellStyle name="Percent 2 5" xfId="170"/>
    <cellStyle name="Percent 3" xfId="171"/>
    <cellStyle name="Percent 3 2" xfId="172"/>
    <cellStyle name="PNUMBER" xfId="173"/>
    <cellStyle name="Porcentagem 2" xfId="174"/>
    <cellStyle name="Porcentagem 2 2" xfId="175"/>
    <cellStyle name="Porcentagem 3" xfId="176"/>
    <cellStyle name="Porcentagem 3 2" xfId="177"/>
    <cellStyle name="Porcentagem 3 2 2" xfId="178"/>
    <cellStyle name="Porcentagem 4" xfId="179"/>
    <cellStyle name="Porcentagem 5" xfId="180"/>
    <cellStyle name="Porcentagem 5 2" xfId="181"/>
    <cellStyle name="Porcentagem 6" xfId="182"/>
    <cellStyle name="Porcentagem 7" xfId="183"/>
    <cellStyle name="Porcentagem 8" xfId="184"/>
    <cellStyle name="Porcentagem 8 2" xfId="185"/>
    <cellStyle name="Porcentagem 9" xfId="186"/>
    <cellStyle name="Porcentual [0]" xfId="187"/>
    <cellStyle name="Porcentual_ADELBCO" xfId="188"/>
    <cellStyle name="Punto0" xfId="189"/>
    <cellStyle name="Salida" xfId="190"/>
    <cellStyle name="Separador de milhares 2" xfId="191"/>
    <cellStyle name="Separador de milhares 2 2" xfId="192"/>
    <cellStyle name="Separador de milhares 2 2 2" xfId="193"/>
    <cellStyle name="Separador de milhares 2 3" xfId="194"/>
    <cellStyle name="Separador de milhares 2 4" xfId="195"/>
    <cellStyle name="Separador de milhares 3" xfId="196"/>
    <cellStyle name="Separador de milhares 3 2" xfId="197"/>
    <cellStyle name="Separador de milhares 3 2 2" xfId="198"/>
    <cellStyle name="Separador de milhares 3 3" xfId="199"/>
    <cellStyle name="Separador de milhares 3 3 2" xfId="200"/>
    <cellStyle name="Separador de milhares 3 3 2 2" xfId="201"/>
    <cellStyle name="Separador de milhares 3 3 2 2 2" xfId="202"/>
    <cellStyle name="Separador de milhares 3 3 2 3" xfId="203"/>
    <cellStyle name="Separador de milhares 3 3 3" xfId="204"/>
    <cellStyle name="Separador de milhares 3 4" xfId="205"/>
    <cellStyle name="Separador de milhares 3 5" xfId="206"/>
    <cellStyle name="Separador de milhares 4" xfId="207"/>
    <cellStyle name="Separador de milhares 4 2" xfId="208"/>
    <cellStyle name="Separador de milhares 5" xfId="209"/>
    <cellStyle name="Separador de milhares 5 2" xfId="210"/>
    <cellStyle name="Separador de milhares 6" xfId="211"/>
    <cellStyle name="Separador de milhares 6 2" xfId="212"/>
    <cellStyle name="Separador de milhares 6 2 2" xfId="213"/>
    <cellStyle name="Separador de milhares 6 3" xfId="214"/>
    <cellStyle name="Separador de milhares 7" xfId="215"/>
    <cellStyle name="Separador de milhares 7 2" xfId="216"/>
    <cellStyle name="Texto de advertencia" xfId="217"/>
    <cellStyle name="Title 2" xfId="218"/>
    <cellStyle name="Vírgula 2" xfId="219"/>
    <cellStyle name="Vírgula 2 2" xfId="220"/>
    <cellStyle name="Vírgula 3" xfId="221"/>
    <cellStyle name="Warning Text 2" xfId="222"/>
    <cellStyle name="Énfasis1" xfId="223"/>
    <cellStyle name="Énfasis2" xfId="224"/>
    <cellStyle name="Énfasis3" xfId="225"/>
    <cellStyle name="Énfasis4" xfId="226"/>
    <cellStyle name="Énfasis5" xfId="227"/>
    <cellStyle name="Énfasis6" xfId="228"/>
    <cellStyle name="þ_x001d_ð'_x000c_ïþ÷_x000c_âþU_x0001_o_x0014_x_x001c__x0007__x0001__x0001_" xfId="229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11"/>
      <rgbColor rgb="FF220A3A"/>
      <rgbColor rgb="FF999933"/>
      <rgbColor rgb="FF800080"/>
      <rgbColor rgb="FF008080"/>
      <rgbColor rgb="FFC0C0C0"/>
      <rgbColor rgb="FFBFBFBF"/>
      <rgbColor rgb="FF8080FF"/>
      <rgbColor rgb="FF943C8F"/>
      <rgbColor rgb="FFFFFFC0"/>
      <rgbColor rgb="FFF2F2F2"/>
      <rgbColor rgb="FF660066"/>
      <rgbColor rgb="FFFF8080"/>
      <rgbColor rgb="FF0080C0"/>
      <rgbColor rgb="FFC0C0FF"/>
      <rgbColor rgb="FF220939"/>
      <rgbColor rgb="FFFF00FF"/>
      <rgbColor rgb="FFFFFF00"/>
      <rgbColor rgb="FF00FFFF"/>
      <rgbColor rgb="FF800080"/>
      <rgbColor rgb="FF800000"/>
      <rgbColor rgb="FF008080"/>
      <rgbColor rgb="FF3333CC"/>
      <rgbColor rgb="FF00CCFF"/>
      <rgbColor rgb="FFE3E3E3"/>
      <rgbColor rgb="FFCCFFCC"/>
      <rgbColor rgb="FFFFFF99"/>
      <rgbColor rgb="FFA6CAF0"/>
      <rgbColor rgb="FFCC9CCC"/>
      <rgbColor rgb="FFCC99FF"/>
      <rgbColor rgb="FFD9D9D9"/>
      <rgbColor rgb="FF387FF5"/>
      <rgbColor rgb="FF33CCCC"/>
      <rgbColor rgb="FFA0E0E0"/>
      <rgbColor rgb="FFFFCC00"/>
      <rgbColor rgb="FFFF9900"/>
      <rgbColor rgb="FFFF6600"/>
      <rgbColor rgb="FF336666"/>
      <rgbColor rgb="FF969696"/>
      <rgbColor rgb="FF00335C"/>
      <rgbColor rgb="FF00B050"/>
      <rgbColor rgb="FF003300"/>
      <rgbColor rgb="FF333300"/>
      <rgbColor rgb="FF993300"/>
      <rgbColor rgb="FF993366"/>
      <rgbColor rgb="FF33339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</xdr:row>
      <xdr:rowOff>0</xdr:rowOff>
    </xdr:from>
    <xdr:to>
      <xdr:col>2</xdr:col>
      <xdr:colOff>3238200</xdr:colOff>
      <xdr:row>6</xdr:row>
      <xdr:rowOff>151920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563400" y="162000"/>
          <a:ext cx="3238200" cy="961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0939"/>
    <pageSetUpPr fitToPage="false"/>
  </sheetPr>
  <dimension ref="C8:H64"/>
  <sheetViews>
    <sheetView showFormulas="false" showGridLines="fals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B1" activeCellId="0" sqref="B1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.22"/>
    <col collapsed="false" customWidth="true" hidden="false" outlineLevel="0" max="2" min="2" style="0" width="6.77"/>
    <col collapsed="false" customWidth="true" hidden="false" outlineLevel="0" max="3" min="3" style="1" width="54.77"/>
    <col collapsed="false" customWidth="true" hidden="false" outlineLevel="0" max="4" min="4" style="2" width="35.22"/>
    <col collapsed="false" customWidth="true" hidden="false" outlineLevel="0" max="5" min="5" style="3" width="12.22"/>
    <col collapsed="false" customWidth="true" hidden="false" outlineLevel="0" max="6" min="6" style="2" width="39.66"/>
    <col collapsed="false" customWidth="true" hidden="false" outlineLevel="0" max="7" min="7" style="0" width="9.21"/>
  </cols>
  <sheetData>
    <row r="8" customFormat="false" ht="21" hidden="false" customHeight="true" outlineLevel="0" collapsed="false">
      <c r="C8" s="4" t="s">
        <v>0</v>
      </c>
      <c r="D8" s="4"/>
      <c r="E8" s="5"/>
      <c r="F8" s="6" t="s">
        <v>1</v>
      </c>
      <c r="G8" s="6"/>
      <c r="H8" s="6"/>
    </row>
    <row r="9" customFormat="false" ht="14.25" hidden="false" customHeight="true" outlineLevel="0" collapsed="false">
      <c r="C9" s="7" t="s">
        <v>2</v>
      </c>
      <c r="D9" s="8"/>
      <c r="E9" s="5"/>
      <c r="F9" s="9" t="s">
        <v>3</v>
      </c>
      <c r="G9" s="10" t="s">
        <v>4</v>
      </c>
      <c r="H9" s="6" t="s">
        <v>5</v>
      </c>
    </row>
    <row r="10" customFormat="false" ht="12.75" hidden="false" customHeight="false" outlineLevel="0" collapsed="false">
      <c r="C10" s="11" t="s">
        <v>6</v>
      </c>
      <c r="D10" s="12"/>
      <c r="E10" s="5"/>
      <c r="F10" s="13" t="s">
        <v>7</v>
      </c>
      <c r="G10" s="14"/>
      <c r="H10" s="15" t="str">
        <f aca="false">IF(G10="","",G10/$G$10)</f>
        <v/>
      </c>
    </row>
    <row r="11" customFormat="false" ht="12.75" hidden="false" customHeight="false" outlineLevel="0" collapsed="false">
      <c r="C11" s="11" t="s">
        <v>8</v>
      </c>
      <c r="D11" s="16"/>
      <c r="F11" s="13" t="s">
        <v>9</v>
      </c>
      <c r="G11" s="14"/>
      <c r="H11" s="15" t="str">
        <f aca="false">IF(G11="","",G11/$G$10)</f>
        <v/>
      </c>
    </row>
    <row r="12" customFormat="false" ht="12.75" hidden="false" customHeight="false" outlineLevel="0" collapsed="false">
      <c r="C12" s="11" t="s">
        <v>10</v>
      </c>
      <c r="D12" s="12"/>
      <c r="F12" s="13" t="s">
        <v>11</v>
      </c>
      <c r="G12" s="14"/>
      <c r="H12" s="15" t="str">
        <f aca="false">IF(G12="","",G12/$G$10)</f>
        <v/>
      </c>
    </row>
    <row r="13" customFormat="false" ht="12.75" hidden="false" customHeight="false" outlineLevel="0" collapsed="false">
      <c r="C13" s="11" t="s">
        <v>12</v>
      </c>
      <c r="D13" s="12"/>
      <c r="F13" s="13" t="s">
        <v>13</v>
      </c>
      <c r="G13" s="14"/>
      <c r="H13" s="15" t="str">
        <f aca="false">IF(G13="","",G13/$G$10)</f>
        <v/>
      </c>
    </row>
    <row r="14" customFormat="false" ht="12.75" hidden="false" customHeight="false" outlineLevel="0" collapsed="false">
      <c r="C14" s="11"/>
      <c r="D14" s="12"/>
      <c r="F14" s="13" t="s">
        <v>14</v>
      </c>
      <c r="G14" s="14"/>
      <c r="H14" s="15" t="str">
        <f aca="false">IF(G14="","",G14/$G$10)</f>
        <v/>
      </c>
    </row>
    <row r="15" customFormat="false" ht="12.75" hidden="false" customHeight="false" outlineLevel="0" collapsed="false">
      <c r="C15" s="11"/>
      <c r="D15" s="12"/>
      <c r="F15" s="13" t="s">
        <v>15</v>
      </c>
      <c r="G15" s="14"/>
      <c r="H15" s="15" t="str">
        <f aca="false">IF(G15="","",G15/$G$10)</f>
        <v/>
      </c>
    </row>
    <row r="16" customFormat="false" ht="12.75" hidden="false" customHeight="false" outlineLevel="0" collapsed="false">
      <c r="C16" s="11"/>
      <c r="D16" s="12"/>
      <c r="F16" s="13" t="s">
        <v>16</v>
      </c>
      <c r="G16" s="14"/>
      <c r="H16" s="15" t="str">
        <f aca="false">IF(G16="","",G16/$G$10)</f>
        <v/>
      </c>
    </row>
    <row r="17" customFormat="false" ht="12.75" hidden="false" customHeight="false" outlineLevel="0" collapsed="false">
      <c r="C17" s="11"/>
      <c r="D17" s="12"/>
      <c r="F17" s="13" t="s">
        <v>17</v>
      </c>
      <c r="G17" s="14"/>
      <c r="H17" s="15" t="str">
        <f aca="false">IF(G17="","",G17/$G$10)</f>
        <v/>
      </c>
    </row>
    <row r="18" customFormat="false" ht="12.75" hidden="false" customHeight="false" outlineLevel="0" collapsed="false">
      <c r="C18" s="11" t="s">
        <v>18</v>
      </c>
      <c r="D18" s="12"/>
      <c r="F18" s="13" t="s">
        <v>19</v>
      </c>
      <c r="G18" s="14"/>
      <c r="H18" s="15" t="str">
        <f aca="false">IF(G18="","",G18/$G$10)</f>
        <v/>
      </c>
    </row>
    <row r="19" customFormat="false" ht="12.75" hidden="false" customHeight="false" outlineLevel="0" collapsed="false">
      <c r="C19" s="11" t="s">
        <v>20</v>
      </c>
      <c r="D19" s="12"/>
      <c r="F19" s="13" t="s">
        <v>21</v>
      </c>
      <c r="G19" s="14"/>
      <c r="H19" s="15" t="str">
        <f aca="false">IF(G19="","",G19/$G$10)</f>
        <v/>
      </c>
    </row>
    <row r="20" customFormat="false" ht="12.75" hidden="false" customHeight="false" outlineLevel="0" collapsed="false">
      <c r="C20" s="11" t="s">
        <v>22</v>
      </c>
      <c r="D20" s="12"/>
      <c r="F20" s="13" t="s">
        <v>23</v>
      </c>
      <c r="G20" s="14"/>
      <c r="H20" s="15" t="str">
        <f aca="false">IF(G20="","",G20/$G$10)</f>
        <v/>
      </c>
    </row>
    <row r="21" customFormat="false" ht="12.75" hidden="false" customHeight="false" outlineLevel="0" collapsed="false">
      <c r="C21" s="11" t="s">
        <v>24</v>
      </c>
      <c r="D21" s="12"/>
      <c r="F21" s="13" t="s">
        <v>25</v>
      </c>
      <c r="G21" s="14"/>
      <c r="H21" s="15" t="str">
        <f aca="false">IF(G21="","",G21/$G$10)</f>
        <v/>
      </c>
    </row>
    <row r="22" customFormat="false" ht="12.75" hidden="false" customHeight="false" outlineLevel="0" collapsed="false">
      <c r="C22" s="11" t="s">
        <v>26</v>
      </c>
      <c r="D22" s="12"/>
    </row>
    <row r="23" customFormat="false" ht="12.75" hidden="false" customHeight="false" outlineLevel="0" collapsed="false">
      <c r="C23" s="11" t="s">
        <v>27</v>
      </c>
      <c r="D23" s="12"/>
    </row>
    <row r="24" customFormat="false" ht="12.75" hidden="false" customHeight="false" outlineLevel="0" collapsed="false">
      <c r="C24" s="11" t="s">
        <v>28</v>
      </c>
      <c r="D24" s="12"/>
    </row>
    <row r="25" customFormat="false" ht="12.75" hidden="false" customHeight="false" outlineLevel="0" collapsed="false">
      <c r="C25" s="11" t="s">
        <v>29</v>
      </c>
      <c r="D25" s="12"/>
    </row>
    <row r="26" customFormat="false" ht="12.75" hidden="false" customHeight="false" outlineLevel="0" collapsed="false">
      <c r="C26" s="11" t="s">
        <v>30</v>
      </c>
      <c r="D26" s="12"/>
    </row>
    <row r="27" customFormat="false" ht="12.75" hidden="false" customHeight="false" outlineLevel="0" collapsed="false">
      <c r="C27" s="11" t="s">
        <v>31</v>
      </c>
      <c r="D27" s="12"/>
    </row>
    <row r="28" customFormat="false" ht="12.75" hidden="false" customHeight="false" outlineLevel="0" collapsed="false">
      <c r="C28" s="11" t="s">
        <v>32</v>
      </c>
      <c r="D28" s="17"/>
    </row>
    <row r="29" customFormat="false" ht="12.75" hidden="false" customHeight="false" outlineLevel="0" collapsed="false">
      <c r="C29" s="11" t="s">
        <v>33</v>
      </c>
      <c r="D29" s="17"/>
    </row>
    <row r="30" customFormat="false" ht="12.75" hidden="false" customHeight="false" outlineLevel="0" collapsed="false">
      <c r="C30" s="11" t="s">
        <v>34</v>
      </c>
      <c r="D30" s="17"/>
    </row>
    <row r="31" customFormat="false" ht="12.75" hidden="false" customHeight="false" outlineLevel="0" collapsed="false">
      <c r="C31" s="11" t="s">
        <v>35</v>
      </c>
      <c r="D31" s="18"/>
    </row>
    <row r="32" customFormat="false" ht="12.75" hidden="false" customHeight="false" outlineLevel="0" collapsed="false">
      <c r="C32" s="11" t="s">
        <v>36</v>
      </c>
      <c r="D32" s="18"/>
    </row>
    <row r="33" customFormat="false" ht="12.75" hidden="false" customHeight="false" outlineLevel="0" collapsed="false">
      <c r="C33" s="11" t="s">
        <v>37</v>
      </c>
      <c r="D33" s="18"/>
    </row>
    <row r="34" customFormat="false" ht="12.75" hidden="false" customHeight="false" outlineLevel="0" collapsed="false">
      <c r="C34" s="11" t="s">
        <v>38</v>
      </c>
      <c r="D34" s="19"/>
    </row>
    <row r="35" customFormat="false" ht="12.75" hidden="false" customHeight="false" outlineLevel="0" collapsed="false">
      <c r="C35" s="3"/>
      <c r="D35" s="3"/>
    </row>
    <row r="36" customFormat="false" ht="21.75" hidden="false" customHeight="true" outlineLevel="0" collapsed="false">
      <c r="C36" s="4" t="s">
        <v>39</v>
      </c>
      <c r="D36" s="4"/>
    </row>
    <row r="37" customFormat="false" ht="12.75" hidden="false" customHeight="false" outlineLevel="0" collapsed="false">
      <c r="C37" s="11" t="s">
        <v>40</v>
      </c>
      <c r="D37" s="12"/>
    </row>
    <row r="38" customFormat="false" ht="12.75" hidden="false" customHeight="false" outlineLevel="0" collapsed="false">
      <c r="C38" s="11" t="s">
        <v>41</v>
      </c>
      <c r="D38" s="12"/>
    </row>
    <row r="39" customFormat="false" ht="12.75" hidden="false" customHeight="false" outlineLevel="0" collapsed="false">
      <c r="C39" s="11" t="s">
        <v>42</v>
      </c>
      <c r="D39" s="12"/>
    </row>
    <row r="40" customFormat="false" ht="12.75" hidden="false" customHeight="false" outlineLevel="0" collapsed="false">
      <c r="C40" s="11" t="s">
        <v>43</v>
      </c>
      <c r="D40" s="12"/>
    </row>
    <row r="41" customFormat="false" ht="12.75" hidden="false" customHeight="false" outlineLevel="0" collapsed="false">
      <c r="C41" s="11" t="s">
        <v>44</v>
      </c>
      <c r="D41" s="12"/>
    </row>
    <row r="42" customFormat="false" ht="12.75" hidden="false" customHeight="false" outlineLevel="0" collapsed="false">
      <c r="C42" s="11" t="s">
        <v>45</v>
      </c>
      <c r="D42" s="19"/>
    </row>
    <row r="43" customFormat="false" ht="12.75" hidden="false" customHeight="false" outlineLevel="0" collapsed="false">
      <c r="C43" s="11" t="s">
        <v>46</v>
      </c>
      <c r="D43" s="19"/>
    </row>
    <row r="44" customFormat="false" ht="12.75" hidden="false" customHeight="false" outlineLevel="0" collapsed="false">
      <c r="C44" s="11" t="s">
        <v>47</v>
      </c>
      <c r="D44" s="20"/>
    </row>
    <row r="45" customFormat="false" ht="12.75" hidden="false" customHeight="false" outlineLevel="0" collapsed="false">
      <c r="C45" s="11" t="s">
        <v>48</v>
      </c>
      <c r="D45" s="20"/>
    </row>
    <row r="46" customFormat="false" ht="12.75" hidden="false" customHeight="false" outlineLevel="0" collapsed="false">
      <c r="C46" s="11" t="s">
        <v>49</v>
      </c>
      <c r="D46" s="20"/>
    </row>
    <row r="47" customFormat="false" ht="12.75" hidden="false" customHeight="false" outlineLevel="0" collapsed="false">
      <c r="C47" s="21"/>
      <c r="D47" s="22"/>
    </row>
    <row r="48" customFormat="false" ht="14.25" hidden="false" customHeight="true" outlineLevel="0" collapsed="false">
      <c r="C48" s="23" t="s">
        <v>50</v>
      </c>
      <c r="D48" s="23"/>
    </row>
    <row r="49" customFormat="false" ht="12.75" hidden="false" customHeight="false" outlineLevel="0" collapsed="false">
      <c r="C49" s="11" t="s">
        <v>51</v>
      </c>
      <c r="D49" s="24"/>
    </row>
    <row r="50" customFormat="false" ht="12.75" hidden="false" customHeight="false" outlineLevel="0" collapsed="false">
      <c r="C50" s="11" t="s">
        <v>52</v>
      </c>
      <c r="D50" s="24"/>
    </row>
    <row r="51" customFormat="false" ht="12.75" hidden="false" customHeight="false" outlineLevel="0" collapsed="false">
      <c r="C51" s="11" t="s">
        <v>53</v>
      </c>
      <c r="D51" s="24"/>
    </row>
    <row r="52" customFormat="false" ht="12.75" hidden="false" customHeight="false" outlineLevel="0" collapsed="false">
      <c r="C52" s="25"/>
      <c r="D52" s="26"/>
    </row>
    <row r="53" customFormat="false" ht="14.25" hidden="false" customHeight="true" outlineLevel="0" collapsed="false">
      <c r="C53" s="23" t="s">
        <v>54</v>
      </c>
      <c r="D53" s="23"/>
    </row>
    <row r="54" customFormat="false" ht="12.75" hidden="false" customHeight="false" outlineLevel="0" collapsed="false">
      <c r="C54" s="27" t="s">
        <v>55</v>
      </c>
      <c r="D54" s="28"/>
    </row>
    <row r="55" customFormat="false" ht="12.75" hidden="false" customHeight="false" outlineLevel="0" collapsed="false">
      <c r="C55" s="27" t="s">
        <v>56</v>
      </c>
      <c r="D55" s="28"/>
    </row>
    <row r="56" customFormat="false" ht="12.75" hidden="false" customHeight="false" outlineLevel="0" collapsed="false">
      <c r="C56" s="27" t="s">
        <v>57</v>
      </c>
      <c r="D56" s="28"/>
    </row>
    <row r="57" customFormat="false" ht="12.75" hidden="false" customHeight="false" outlineLevel="0" collapsed="false">
      <c r="C57" s="27" t="s">
        <v>58</v>
      </c>
      <c r="D57" s="28"/>
    </row>
    <row r="58" customFormat="false" ht="12.75" hidden="false" customHeight="false" outlineLevel="0" collapsed="false">
      <c r="C58" s="27" t="s">
        <v>59</v>
      </c>
      <c r="D58" s="24"/>
    </row>
    <row r="59" customFormat="false" ht="12.75" hidden="false" customHeight="false" outlineLevel="0" collapsed="false">
      <c r="C59" s="27" t="s">
        <v>60</v>
      </c>
      <c r="D59" s="24"/>
    </row>
    <row r="60" customFormat="false" ht="12.75" hidden="false" customHeight="false" outlineLevel="0" collapsed="false">
      <c r="C60" s="25"/>
      <c r="D60" s="29"/>
    </row>
    <row r="61" customFormat="false" ht="14.25" hidden="false" customHeight="true" outlineLevel="0" collapsed="false">
      <c r="C61" s="30" t="s">
        <v>61</v>
      </c>
      <c r="D61" s="30"/>
    </row>
    <row r="62" customFormat="false" ht="12.75" hidden="false" customHeight="false" outlineLevel="0" collapsed="false">
      <c r="C62" s="31" t="s">
        <v>62</v>
      </c>
      <c r="D62" s="32"/>
    </row>
    <row r="63" customFormat="false" ht="12.75" hidden="false" customHeight="false" outlineLevel="0" collapsed="false">
      <c r="C63" s="31" t="s">
        <v>63</v>
      </c>
      <c r="D63" s="16"/>
    </row>
    <row r="64" customFormat="false" ht="12.75" hidden="false" customHeight="false" outlineLevel="0" collapsed="false">
      <c r="C64" s="31" t="s">
        <v>64</v>
      </c>
      <c r="D64" s="32"/>
    </row>
  </sheetData>
  <mergeCells count="7">
    <mergeCell ref="C8:D8"/>
    <mergeCell ref="F8:H8"/>
    <mergeCell ref="C13:C17"/>
    <mergeCell ref="C36:D36"/>
    <mergeCell ref="C48:D48"/>
    <mergeCell ref="C53:D53"/>
    <mergeCell ref="C61:D6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7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0939"/>
    <pageSetUpPr fitToPage="true"/>
  </sheetPr>
  <dimension ref="A1:EK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D7" activeCellId="0" sqref="D7"/>
    </sheetView>
  </sheetViews>
  <sheetFormatPr defaultColWidth="9.21875" defaultRowHeight="12.75" zeroHeight="false" outlineLevelRow="0" outlineLevelCol="0"/>
  <cols>
    <col collapsed="false" customWidth="true" hidden="false" outlineLevel="0" max="1" min="1" style="33" width="19.78"/>
    <col collapsed="false" customWidth="true" hidden="false" outlineLevel="0" max="2" min="2" style="33" width="20.78"/>
    <col collapsed="false" customWidth="true" hidden="false" outlineLevel="0" max="3" min="3" style="33" width="15.44"/>
    <col collapsed="false" customWidth="true" hidden="false" outlineLevel="0" max="4" min="4" style="33" width="14.78"/>
    <col collapsed="false" customWidth="true" hidden="false" outlineLevel="0" max="5" min="5" style="34" width="34.78"/>
    <col collapsed="false" customWidth="true" hidden="false" outlineLevel="0" max="7" min="6" style="33" width="12.77"/>
    <col collapsed="false" customWidth="true" hidden="false" outlineLevel="0" max="8" min="8" style="33" width="17.77"/>
    <col collapsed="false" customWidth="true" hidden="false" outlineLevel="0" max="9" min="9" style="33" width="32.56"/>
    <col collapsed="false" customWidth="true" hidden="false" outlineLevel="0" max="10" min="10" style="33" width="20.22"/>
    <col collapsed="false" customWidth="true" hidden="false" outlineLevel="0" max="11" min="11" style="33" width="17.56"/>
    <col collapsed="false" customWidth="true" hidden="false" outlineLevel="0" max="12" min="12" style="33" width="19.21"/>
    <col collapsed="false" customWidth="true" hidden="false" outlineLevel="0" max="13" min="13" style="33" width="2.44"/>
    <col collapsed="false" customWidth="false" hidden="false" outlineLevel="0" max="16384" min="14" style="33" width="9.21"/>
  </cols>
  <sheetData>
    <row r="1" customFormat="false" ht="15" hidden="false" customHeight="true" outlineLevel="0" collapsed="false">
      <c r="A1" s="35"/>
      <c r="B1" s="35"/>
      <c r="C1" s="36"/>
      <c r="F1" s="36"/>
      <c r="G1" s="36"/>
      <c r="H1" s="36"/>
      <c r="M1" s="37"/>
    </row>
    <row r="2" customFormat="false" ht="17.25" hidden="false" customHeight="true" outlineLevel="0" collapsed="false">
      <c r="A2" s="38" t="s">
        <v>65</v>
      </c>
      <c r="B2" s="39" t="n">
        <v>45778</v>
      </c>
      <c r="F2" s="36"/>
      <c r="G2" s="36"/>
      <c r="H2" s="36"/>
      <c r="M2" s="37"/>
    </row>
    <row r="3" customFormat="false" ht="16.5" hidden="false" customHeight="true" outlineLevel="0" collapsed="false">
      <c r="A3" s="40"/>
      <c r="B3" s="40"/>
      <c r="C3" s="40"/>
      <c r="M3" s="37"/>
    </row>
    <row r="4" s="43" customFormat="true" ht="30" hidden="false" customHeight="true" outlineLevel="0" collapsed="false">
      <c r="A4" s="41" t="s">
        <v>66</v>
      </c>
      <c r="B4" s="41" t="s">
        <v>67</v>
      </c>
      <c r="C4" s="41" t="s">
        <v>68</v>
      </c>
      <c r="D4" s="41" t="s">
        <v>69</v>
      </c>
      <c r="E4" s="41" t="s">
        <v>70</v>
      </c>
      <c r="F4" s="41" t="s">
        <v>71</v>
      </c>
      <c r="G4" s="41" t="s">
        <v>72</v>
      </c>
      <c r="H4" s="41" t="s">
        <v>73</v>
      </c>
      <c r="I4" s="41" t="s">
        <v>74</v>
      </c>
      <c r="J4" s="41" t="s">
        <v>75</v>
      </c>
      <c r="K4" s="41" t="s">
        <v>76</v>
      </c>
      <c r="L4" s="41" t="s">
        <v>77</v>
      </c>
      <c r="M4" s="37"/>
      <c r="N4" s="42" t="n">
        <f aca="false">B2</f>
        <v>45778</v>
      </c>
      <c r="O4" s="42" t="n">
        <f aca="false">EDATE(N4,1)</f>
        <v>45809</v>
      </c>
      <c r="P4" s="42" t="n">
        <f aca="false">EDATE(O4,1)</f>
        <v>45839</v>
      </c>
      <c r="Q4" s="42" t="n">
        <f aca="false">EDATE(P4,1)</f>
        <v>45870</v>
      </c>
      <c r="R4" s="42" t="n">
        <f aca="false">EDATE(Q4,1)</f>
        <v>45901</v>
      </c>
      <c r="S4" s="42" t="n">
        <f aca="false">EDATE(R4,1)</f>
        <v>45931</v>
      </c>
      <c r="T4" s="42" t="n">
        <f aca="false">EDATE(S4,1)</f>
        <v>45962</v>
      </c>
      <c r="U4" s="42" t="n">
        <f aca="false">EDATE(T4,1)</f>
        <v>45992</v>
      </c>
      <c r="V4" s="42" t="n">
        <f aca="false">EDATE(U4,1)</f>
        <v>46023</v>
      </c>
      <c r="W4" s="42" t="n">
        <f aca="false">EDATE(V4,1)</f>
        <v>46054</v>
      </c>
      <c r="X4" s="42" t="n">
        <f aca="false">EDATE(W4,1)</f>
        <v>46082</v>
      </c>
      <c r="Y4" s="42" t="n">
        <f aca="false">EDATE(X4,1)</f>
        <v>46113</v>
      </c>
      <c r="Z4" s="42" t="n">
        <f aca="false">EDATE(Y4,1)</f>
        <v>46143</v>
      </c>
      <c r="AA4" s="42" t="n">
        <f aca="false">EDATE(Z4,1)</f>
        <v>46174</v>
      </c>
      <c r="AB4" s="42" t="n">
        <f aca="false">EDATE(AA4,1)</f>
        <v>46204</v>
      </c>
      <c r="AC4" s="42" t="n">
        <f aca="false">EDATE(AB4,1)</f>
        <v>46235</v>
      </c>
      <c r="AD4" s="42" t="n">
        <f aca="false">EDATE(AC4,1)</f>
        <v>46266</v>
      </c>
      <c r="AE4" s="42" t="n">
        <f aca="false">EDATE(AD4,1)</f>
        <v>46296</v>
      </c>
      <c r="AF4" s="42" t="n">
        <f aca="false">EDATE(AE4,1)</f>
        <v>46327</v>
      </c>
      <c r="AG4" s="42" t="n">
        <f aca="false">EDATE(AF4,1)</f>
        <v>46357</v>
      </c>
      <c r="AH4" s="42" t="n">
        <f aca="false">EDATE(AG4,1)</f>
        <v>46388</v>
      </c>
      <c r="AI4" s="42" t="n">
        <f aca="false">EDATE(AH4,1)</f>
        <v>46419</v>
      </c>
      <c r="AJ4" s="42" t="n">
        <f aca="false">EDATE(AI4,1)</f>
        <v>46447</v>
      </c>
      <c r="AK4" s="42" t="n">
        <f aca="false">EDATE(AJ4,1)</f>
        <v>46478</v>
      </c>
      <c r="AL4" s="42" t="n">
        <f aca="false">EDATE(AK4,1)</f>
        <v>46508</v>
      </c>
      <c r="AM4" s="42" t="n">
        <f aca="false">EDATE(AL4,1)</f>
        <v>46539</v>
      </c>
      <c r="AN4" s="42" t="n">
        <f aca="false">EDATE(AM4,1)</f>
        <v>46569</v>
      </c>
      <c r="AO4" s="42" t="n">
        <f aca="false">EDATE(AN4,1)</f>
        <v>46600</v>
      </c>
      <c r="AP4" s="42" t="n">
        <f aca="false">EDATE(AO4,1)</f>
        <v>46631</v>
      </c>
      <c r="AQ4" s="42" t="n">
        <f aca="false">EDATE(AP4,1)</f>
        <v>46661</v>
      </c>
      <c r="AR4" s="42" t="n">
        <f aca="false">EDATE(AQ4,1)</f>
        <v>46692</v>
      </c>
      <c r="AS4" s="42" t="n">
        <f aca="false">EDATE(AR4,1)</f>
        <v>46722</v>
      </c>
      <c r="AT4" s="42" t="n">
        <f aca="false">EDATE(AS4,1)</f>
        <v>46753</v>
      </c>
      <c r="AU4" s="42" t="n">
        <f aca="false">EDATE(AT4,1)</f>
        <v>46784</v>
      </c>
      <c r="AV4" s="42" t="n">
        <f aca="false">EDATE(AU4,1)</f>
        <v>46813</v>
      </c>
      <c r="AW4" s="42" t="n">
        <f aca="false">EDATE(AV4,1)</f>
        <v>46844</v>
      </c>
      <c r="AX4" s="42" t="n">
        <f aca="false">EDATE(AW4,1)</f>
        <v>46874</v>
      </c>
      <c r="AY4" s="42" t="n">
        <f aca="false">EDATE(AX4,1)</f>
        <v>46905</v>
      </c>
      <c r="AZ4" s="42" t="n">
        <f aca="false">EDATE(AY4,1)</f>
        <v>46935</v>
      </c>
      <c r="BA4" s="42" t="n">
        <f aca="false">EDATE(AZ4,1)</f>
        <v>46966</v>
      </c>
      <c r="BB4" s="42" t="n">
        <f aca="false">EDATE(BA4,1)</f>
        <v>46997</v>
      </c>
      <c r="BC4" s="42" t="n">
        <f aca="false">EDATE(BB4,1)</f>
        <v>47027</v>
      </c>
      <c r="BD4" s="42" t="n">
        <f aca="false">EDATE(BC4,1)</f>
        <v>47058</v>
      </c>
      <c r="BE4" s="42" t="n">
        <f aca="false">EDATE(BD4,1)</f>
        <v>47088</v>
      </c>
      <c r="BF4" s="42" t="n">
        <f aca="false">EDATE(BE4,1)</f>
        <v>47119</v>
      </c>
      <c r="BG4" s="42" t="n">
        <f aca="false">EDATE(BF4,1)</f>
        <v>47150</v>
      </c>
      <c r="BH4" s="42" t="n">
        <f aca="false">EDATE(BG4,1)</f>
        <v>47178</v>
      </c>
      <c r="BI4" s="42" t="n">
        <f aca="false">EDATE(BH4,1)</f>
        <v>47209</v>
      </c>
      <c r="BJ4" s="42" t="n">
        <f aca="false">EDATE(BI4,1)</f>
        <v>47239</v>
      </c>
      <c r="BK4" s="42" t="n">
        <f aca="false">EDATE(BJ4,1)</f>
        <v>47270</v>
      </c>
      <c r="BL4" s="42" t="n">
        <f aca="false">EDATE(BK4,1)</f>
        <v>47300</v>
      </c>
      <c r="BM4" s="42" t="n">
        <f aca="false">EDATE(BL4,1)</f>
        <v>47331</v>
      </c>
      <c r="BN4" s="42" t="n">
        <f aca="false">EDATE(BM4,1)</f>
        <v>47362</v>
      </c>
      <c r="BO4" s="42" t="n">
        <f aca="false">EDATE(BN4,1)</f>
        <v>47392</v>
      </c>
      <c r="BP4" s="42" t="n">
        <f aca="false">EDATE(BO4,1)</f>
        <v>47423</v>
      </c>
      <c r="BQ4" s="42" t="n">
        <f aca="false">EDATE(BP4,1)</f>
        <v>47453</v>
      </c>
      <c r="BR4" s="42" t="n">
        <f aca="false">EDATE(BQ4,1)</f>
        <v>47484</v>
      </c>
      <c r="BS4" s="42" t="n">
        <f aca="false">EDATE(BR4,1)</f>
        <v>47515</v>
      </c>
      <c r="BT4" s="42" t="n">
        <f aca="false">EDATE(BS4,1)</f>
        <v>47543</v>
      </c>
      <c r="BU4" s="42" t="n">
        <f aca="false">EDATE(BT4,1)</f>
        <v>47574</v>
      </c>
      <c r="BV4" s="42" t="n">
        <f aca="false">EDATE(BU4,1)</f>
        <v>47604</v>
      </c>
      <c r="BW4" s="42" t="n">
        <f aca="false">EDATE(BV4,1)</f>
        <v>47635</v>
      </c>
      <c r="BX4" s="42" t="n">
        <f aca="false">EDATE(BW4,1)</f>
        <v>47665</v>
      </c>
      <c r="BY4" s="42" t="n">
        <f aca="false">EDATE(BX4,1)</f>
        <v>47696</v>
      </c>
      <c r="BZ4" s="42" t="n">
        <f aca="false">EDATE(BY4,1)</f>
        <v>47727</v>
      </c>
      <c r="CA4" s="42" t="n">
        <f aca="false">EDATE(BZ4,1)</f>
        <v>47757</v>
      </c>
      <c r="CB4" s="42" t="n">
        <f aca="false">EDATE(CA4,1)</f>
        <v>47788</v>
      </c>
      <c r="CC4" s="42" t="n">
        <f aca="false">EDATE(CB4,1)</f>
        <v>47818</v>
      </c>
      <c r="CD4" s="42" t="n">
        <f aca="false">EDATE(CC4,1)</f>
        <v>47849</v>
      </c>
      <c r="CE4" s="42" t="n">
        <f aca="false">EDATE(CD4,1)</f>
        <v>47880</v>
      </c>
      <c r="CF4" s="42" t="n">
        <f aca="false">EDATE(CE4,1)</f>
        <v>47908</v>
      </c>
      <c r="CG4" s="42" t="n">
        <f aca="false">EDATE(CF4,1)</f>
        <v>47939</v>
      </c>
      <c r="CH4" s="42" t="n">
        <f aca="false">EDATE(CG4,1)</f>
        <v>47969</v>
      </c>
      <c r="CI4" s="42" t="n">
        <f aca="false">EDATE(CH4,1)</f>
        <v>48000</v>
      </c>
      <c r="CJ4" s="42" t="n">
        <f aca="false">EDATE(CI4,1)</f>
        <v>48030</v>
      </c>
      <c r="CK4" s="42" t="n">
        <f aca="false">EDATE(CJ4,1)</f>
        <v>48061</v>
      </c>
      <c r="CL4" s="42" t="n">
        <f aca="false">EDATE(CK4,1)</f>
        <v>48092</v>
      </c>
      <c r="CM4" s="42" t="n">
        <f aca="false">EDATE(CL4,1)</f>
        <v>48122</v>
      </c>
      <c r="CN4" s="42" t="n">
        <f aca="false">EDATE(CM4,1)</f>
        <v>48153</v>
      </c>
      <c r="CO4" s="42" t="n">
        <f aca="false">EDATE(CN4,1)</f>
        <v>48183</v>
      </c>
      <c r="CP4" s="42" t="n">
        <f aca="false">EDATE(CO4,1)</f>
        <v>48214</v>
      </c>
      <c r="CQ4" s="42" t="n">
        <f aca="false">EDATE(CP4,1)</f>
        <v>48245</v>
      </c>
      <c r="CR4" s="42" t="n">
        <f aca="false">EDATE(CQ4,1)</f>
        <v>48274</v>
      </c>
      <c r="CS4" s="42" t="n">
        <f aca="false">EDATE(CR4,1)</f>
        <v>48305</v>
      </c>
      <c r="CT4" s="42" t="n">
        <f aca="false">EDATE(CS4,1)</f>
        <v>48335</v>
      </c>
      <c r="CU4" s="42" t="n">
        <f aca="false">EDATE(CT4,1)</f>
        <v>48366</v>
      </c>
      <c r="CV4" s="42" t="n">
        <f aca="false">EDATE(CU4,1)</f>
        <v>48396</v>
      </c>
      <c r="CW4" s="42" t="n">
        <f aca="false">EDATE(CV4,1)</f>
        <v>48427</v>
      </c>
      <c r="CX4" s="42" t="n">
        <f aca="false">EDATE(CW4,1)</f>
        <v>48458</v>
      </c>
      <c r="CY4" s="42" t="n">
        <f aca="false">EDATE(CX4,1)</f>
        <v>48488</v>
      </c>
      <c r="CZ4" s="42" t="n">
        <f aca="false">EDATE(CY4,1)</f>
        <v>48519</v>
      </c>
      <c r="DA4" s="42" t="n">
        <f aca="false">EDATE(CZ4,1)</f>
        <v>48549</v>
      </c>
      <c r="DB4" s="42" t="n">
        <f aca="false">EDATE(DA4,1)</f>
        <v>48580</v>
      </c>
      <c r="DC4" s="42" t="n">
        <f aca="false">EDATE(DB4,1)</f>
        <v>48611</v>
      </c>
      <c r="DD4" s="42" t="n">
        <f aca="false">EDATE(DC4,1)</f>
        <v>48639</v>
      </c>
      <c r="DE4" s="42" t="n">
        <f aca="false">EDATE(DD4,1)</f>
        <v>48670</v>
      </c>
      <c r="DF4" s="42" t="n">
        <f aca="false">EDATE(DE4,1)</f>
        <v>48700</v>
      </c>
      <c r="DG4" s="42" t="n">
        <f aca="false">EDATE(DF4,1)</f>
        <v>48731</v>
      </c>
      <c r="DH4" s="42" t="n">
        <f aca="false">EDATE(DG4,1)</f>
        <v>48761</v>
      </c>
      <c r="DI4" s="42" t="n">
        <f aca="false">EDATE(DH4,1)</f>
        <v>48792</v>
      </c>
      <c r="DJ4" s="42" t="n">
        <f aca="false">EDATE(DI4,1)</f>
        <v>48823</v>
      </c>
      <c r="DK4" s="42" t="n">
        <f aca="false">EDATE(DJ4,1)</f>
        <v>48853</v>
      </c>
      <c r="DL4" s="42" t="n">
        <f aca="false">EDATE(DK4,1)</f>
        <v>48884</v>
      </c>
      <c r="DM4" s="42" t="n">
        <f aca="false">EDATE(DL4,1)</f>
        <v>48914</v>
      </c>
      <c r="DN4" s="42" t="n">
        <f aca="false">EDATE(DM4,1)</f>
        <v>48945</v>
      </c>
      <c r="DO4" s="42" t="n">
        <f aca="false">EDATE(DN4,1)</f>
        <v>48976</v>
      </c>
      <c r="DP4" s="42" t="n">
        <f aca="false">EDATE(DO4,1)</f>
        <v>49004</v>
      </c>
      <c r="DQ4" s="42" t="n">
        <f aca="false">EDATE(DP4,1)</f>
        <v>49035</v>
      </c>
      <c r="DR4" s="42" t="n">
        <f aca="false">EDATE(DQ4,1)</f>
        <v>49065</v>
      </c>
      <c r="DS4" s="42" t="n">
        <f aca="false">EDATE(DR4,1)</f>
        <v>49096</v>
      </c>
      <c r="DT4" s="42" t="n">
        <f aca="false">EDATE(DS4,1)</f>
        <v>49126</v>
      </c>
      <c r="DU4" s="42" t="n">
        <f aca="false">EDATE(DT4,1)</f>
        <v>49157</v>
      </c>
      <c r="DV4" s="42" t="n">
        <f aca="false">EDATE(DU4,1)</f>
        <v>49188</v>
      </c>
      <c r="DW4" s="42" t="n">
        <f aca="false">EDATE(DV4,1)</f>
        <v>49218</v>
      </c>
      <c r="DX4" s="42" t="n">
        <f aca="false">EDATE(DW4,1)</f>
        <v>49249</v>
      </c>
      <c r="DY4" s="42" t="n">
        <f aca="false">EDATE(DX4,1)</f>
        <v>49279</v>
      </c>
      <c r="DZ4" s="42" t="n">
        <f aca="false">EDATE(DY4,1)</f>
        <v>49310</v>
      </c>
      <c r="EA4" s="42" t="n">
        <f aca="false">EDATE(DZ4,1)</f>
        <v>49341</v>
      </c>
      <c r="EB4" s="42" t="n">
        <f aca="false">EDATE(EA4,1)</f>
        <v>49369</v>
      </c>
      <c r="EC4" s="42" t="n">
        <f aca="false">EDATE(EB4,1)</f>
        <v>49400</v>
      </c>
      <c r="ED4" s="42" t="n">
        <f aca="false">EDATE(EC4,1)</f>
        <v>49430</v>
      </c>
      <c r="EE4" s="42" t="n">
        <f aca="false">EDATE(ED4,1)</f>
        <v>49461</v>
      </c>
      <c r="EF4" s="42" t="n">
        <f aca="false">EDATE(EE4,1)</f>
        <v>49491</v>
      </c>
      <c r="EG4" s="42" t="n">
        <f aca="false">EDATE(EF4,1)</f>
        <v>49522</v>
      </c>
      <c r="EH4" s="42" t="n">
        <f aca="false">EDATE(EG4,1)</f>
        <v>49553</v>
      </c>
      <c r="EI4" s="42" t="n">
        <f aca="false">EDATE(EH4,1)</f>
        <v>49583</v>
      </c>
      <c r="EJ4" s="42" t="n">
        <f aca="false">EDATE(EI4,1)</f>
        <v>49614</v>
      </c>
      <c r="EK4" s="42" t="n">
        <f aca="false">EDATE(EJ4,1)</f>
        <v>49644</v>
      </c>
    </row>
    <row r="5" s="43" customFormat="true" ht="12.75" hidden="false" customHeight="false" outlineLevel="0" collapsed="false">
      <c r="A5" s="44"/>
      <c r="B5" s="44"/>
      <c r="C5" s="44"/>
      <c r="D5" s="45"/>
      <c r="E5" s="44"/>
      <c r="F5" s="46"/>
      <c r="G5" s="46"/>
      <c r="H5" s="45"/>
      <c r="I5" s="44"/>
      <c r="J5" s="44"/>
      <c r="K5" s="47"/>
      <c r="L5" s="44"/>
      <c r="M5" s="37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</row>
    <row r="6" s="43" customFormat="true" ht="12.75" hidden="false" customHeight="false" outlineLevel="0" collapsed="false">
      <c r="A6" s="44"/>
      <c r="B6" s="44"/>
      <c r="C6" s="44"/>
      <c r="D6" s="45"/>
      <c r="E6" s="44"/>
      <c r="F6" s="46"/>
      <c r="G6" s="46"/>
      <c r="H6" s="45"/>
      <c r="I6" s="44"/>
      <c r="J6" s="44"/>
      <c r="K6" s="47"/>
      <c r="L6" s="44"/>
      <c r="M6" s="37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</row>
    <row r="7" s="43" customFormat="true" ht="12.75" hidden="false" customHeight="false" outlineLevel="0" collapsed="false">
      <c r="A7" s="44"/>
      <c r="B7" s="44"/>
      <c r="C7" s="44"/>
      <c r="D7" s="45"/>
      <c r="E7" s="44"/>
      <c r="F7" s="46"/>
      <c r="G7" s="46"/>
      <c r="H7" s="45"/>
      <c r="I7" s="44"/>
      <c r="J7" s="44"/>
      <c r="K7" s="47"/>
      <c r="L7" s="44"/>
      <c r="M7" s="37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</row>
    <row r="8" s="43" customFormat="true" ht="12.75" hidden="false" customHeight="false" outlineLevel="0" collapsed="false">
      <c r="A8" s="44"/>
      <c r="B8" s="44"/>
      <c r="C8" s="44"/>
      <c r="D8" s="45"/>
      <c r="E8" s="44"/>
      <c r="F8" s="46"/>
      <c r="G8" s="46"/>
      <c r="H8" s="45"/>
      <c r="I8" s="44"/>
      <c r="J8" s="44"/>
      <c r="K8" s="47"/>
      <c r="L8" s="44"/>
      <c r="M8" s="37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</row>
    <row r="9" s="43" customFormat="true" ht="12.75" hidden="false" customHeight="false" outlineLevel="0" collapsed="false">
      <c r="A9" s="44"/>
      <c r="B9" s="44"/>
      <c r="C9" s="44"/>
      <c r="D9" s="45"/>
      <c r="E9" s="44"/>
      <c r="F9" s="46"/>
      <c r="G9" s="46"/>
      <c r="H9" s="45"/>
      <c r="I9" s="44"/>
      <c r="J9" s="44"/>
      <c r="K9" s="47"/>
      <c r="L9" s="44"/>
      <c r="M9" s="37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</row>
    <row r="10" customFormat="false" ht="12.75" hidden="false" customHeight="false" outlineLevel="0" collapsed="false">
      <c r="A10" s="44"/>
      <c r="B10" s="44"/>
      <c r="C10" s="44"/>
      <c r="D10" s="45"/>
      <c r="E10" s="44"/>
      <c r="F10" s="46"/>
      <c r="G10" s="46"/>
      <c r="H10" s="45"/>
      <c r="I10" s="44"/>
      <c r="J10" s="44"/>
      <c r="K10" s="47"/>
      <c r="L10" s="44"/>
      <c r="M10" s="37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</row>
  </sheetData>
  <printOptions headings="false" gridLines="false" gridLinesSet="true" horizontalCentered="false" verticalCentered="false"/>
  <pageMargins left="0.170138888888889" right="0.159722222222222" top="0.170138888888889" bottom="0.2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0A3A"/>
    <pageSetUpPr fitToPage="false"/>
  </sheetPr>
  <dimension ref="A2:H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E35" activeCellId="0" sqref="E35"/>
    </sheetView>
  </sheetViews>
  <sheetFormatPr defaultColWidth="9.21875" defaultRowHeight="13.5" zeroHeight="false" outlineLevelRow="0" outlineLevelCol="0"/>
  <cols>
    <col collapsed="false" customWidth="true" hidden="false" outlineLevel="0" max="1" min="1" style="48" width="19.78"/>
    <col collapsed="false" customWidth="true" hidden="false" outlineLevel="0" max="2" min="2" style="33" width="20.78"/>
    <col collapsed="false" customWidth="true" hidden="false" outlineLevel="0" max="3" min="3" style="48" width="24.78"/>
    <col collapsed="false" customWidth="true" hidden="false" outlineLevel="0" max="4" min="4" style="48" width="14.44"/>
    <col collapsed="false" customWidth="true" hidden="false" outlineLevel="0" max="5" min="5" style="48" width="17.22"/>
    <col collapsed="false" customWidth="true" hidden="false" outlineLevel="0" max="6" min="6" style="48" width="14.78"/>
    <col collapsed="false" customWidth="true" hidden="false" outlineLevel="0" max="7" min="7" style="48" width="14.44"/>
    <col collapsed="false" customWidth="true" hidden="false" outlineLevel="0" max="8" min="8" style="49" width="15.56"/>
    <col collapsed="false" customWidth="true" hidden="false" outlineLevel="0" max="9" min="9" style="48" width="2.22"/>
    <col collapsed="false" customWidth="false" hidden="false" outlineLevel="0" max="16384" min="10" style="48" width="9.21"/>
  </cols>
  <sheetData>
    <row r="2" s="33" customFormat="true" ht="17.25" hidden="false" customHeight="true" outlineLevel="0" collapsed="false">
      <c r="A2" s="38" t="s">
        <v>65</v>
      </c>
      <c r="B2" s="39"/>
      <c r="E2" s="34"/>
      <c r="F2" s="36"/>
      <c r="G2" s="36"/>
      <c r="H2" s="36"/>
    </row>
    <row r="3" s="33" customFormat="true" ht="16.5" hidden="false" customHeight="true" outlineLevel="0" collapsed="false">
      <c r="A3" s="40"/>
      <c r="B3" s="40"/>
      <c r="C3" s="40"/>
      <c r="E3" s="34"/>
    </row>
    <row r="4" customFormat="false" ht="30" hidden="false" customHeight="true" outlineLevel="0" collapsed="false">
      <c r="A4" s="50" t="s">
        <v>66</v>
      </c>
      <c r="B4" s="50" t="s">
        <v>78</v>
      </c>
      <c r="C4" s="51" t="s">
        <v>70</v>
      </c>
      <c r="D4" s="52" t="s">
        <v>79</v>
      </c>
      <c r="E4" s="52" t="s">
        <v>80</v>
      </c>
      <c r="F4" s="52" t="s">
        <v>81</v>
      </c>
      <c r="G4" s="52" t="s">
        <v>82</v>
      </c>
      <c r="H4" s="51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0A3A"/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21875" defaultRowHeight="12.75" zeroHeight="false" outlineLevelRow="0" outlineLevelCol="0"/>
  <cols>
    <col collapsed="false" customWidth="true" hidden="false" outlineLevel="0" max="1" min="1" style="33" width="19.78"/>
    <col collapsed="false" customWidth="true" hidden="false" outlineLevel="0" max="2" min="2" style="33" width="20.78"/>
    <col collapsed="false" customWidth="true" hidden="false" outlineLevel="0" max="3" min="3" style="34" width="34.78"/>
    <col collapsed="false" customWidth="true" hidden="false" outlineLevel="0" max="5" min="4" style="33" width="12.77"/>
    <col collapsed="false" customWidth="true" hidden="false" outlineLevel="0" max="6" min="6" style="33" width="18"/>
    <col collapsed="false" customWidth="true" hidden="false" outlineLevel="0" max="7" min="7" style="33" width="18.78"/>
    <col collapsed="false" customWidth="true" hidden="false" outlineLevel="0" max="8" min="8" style="33" width="47.56"/>
    <col collapsed="false" customWidth="true" hidden="false" outlineLevel="0" max="9" min="9" style="33" width="14.21"/>
    <col collapsed="false" customWidth="false" hidden="false" outlineLevel="0" max="10" min="10" style="33" width="9.21"/>
    <col collapsed="false" customWidth="true" hidden="false" outlineLevel="0" max="11" min="11" style="33" width="10.78"/>
    <col collapsed="false" customWidth="true" hidden="false" outlineLevel="0" max="12" min="12" style="33" width="10.21"/>
    <col collapsed="false" customWidth="false" hidden="false" outlineLevel="0" max="16384" min="13" style="33" width="9.21"/>
  </cols>
  <sheetData>
    <row r="1" customFormat="false" ht="15" hidden="false" customHeight="true" outlineLevel="0" collapsed="false">
      <c r="A1" s="35"/>
      <c r="B1" s="35"/>
      <c r="C1" s="36"/>
      <c r="E1" s="34"/>
      <c r="F1" s="36"/>
      <c r="G1" s="36"/>
      <c r="H1" s="36"/>
    </row>
    <row r="2" s="33" customFormat="true" ht="17.25" hidden="false" customHeight="true" outlineLevel="0" collapsed="false">
      <c r="A2" s="38" t="s">
        <v>65</v>
      </c>
      <c r="B2" s="39"/>
      <c r="E2" s="34"/>
      <c r="F2" s="36"/>
      <c r="G2" s="36"/>
      <c r="H2" s="36"/>
    </row>
    <row r="3" customFormat="false" ht="16.5" hidden="false" customHeight="true" outlineLevel="0" collapsed="false">
      <c r="A3" s="40"/>
      <c r="B3" s="40"/>
      <c r="C3" s="40"/>
      <c r="E3" s="34"/>
    </row>
    <row r="4" s="48" customFormat="true" ht="30" hidden="false" customHeight="true" outlineLevel="0" collapsed="false">
      <c r="A4" s="50" t="s">
        <v>66</v>
      </c>
      <c r="B4" s="50" t="s">
        <v>83</v>
      </c>
      <c r="C4" s="51" t="s">
        <v>70</v>
      </c>
      <c r="D4" s="52" t="s">
        <v>72</v>
      </c>
      <c r="E4" s="52" t="s">
        <v>84</v>
      </c>
      <c r="F4" s="52" t="s">
        <v>45</v>
      </c>
      <c r="G4" s="52" t="s">
        <v>85</v>
      </c>
      <c r="H4" s="51" t="s">
        <v>86</v>
      </c>
    </row>
    <row r="5" s="54" customFormat="true" ht="13.5" hidden="false" customHeight="true" outlineLevel="0" collapsed="false">
      <c r="A5" s="44"/>
      <c r="B5" s="44"/>
      <c r="C5" s="44"/>
      <c r="D5" s="46"/>
      <c r="E5" s="46"/>
      <c r="F5" s="53"/>
      <c r="G5" s="53"/>
      <c r="H5" s="53"/>
    </row>
    <row r="6" s="43" customFormat="true" ht="12.75" hidden="false" customHeight="false" outlineLevel="0" collapsed="false">
      <c r="A6" s="44"/>
      <c r="B6" s="44"/>
      <c r="C6" s="44"/>
      <c r="D6" s="46"/>
      <c r="E6" s="46"/>
      <c r="F6" s="53"/>
      <c r="G6" s="53"/>
      <c r="H6" s="53"/>
    </row>
    <row r="7" s="43" customFormat="true" ht="12.75" hidden="false" customHeight="false" outlineLevel="0" collapsed="false">
      <c r="A7" s="44"/>
      <c r="B7" s="44"/>
      <c r="C7" s="44"/>
      <c r="D7" s="46"/>
      <c r="E7" s="46"/>
      <c r="F7" s="53"/>
      <c r="G7" s="53"/>
      <c r="H7" s="53"/>
    </row>
    <row r="8" s="43" customFormat="true" ht="12.75" hidden="false" customHeight="false" outlineLevel="0" collapsed="false">
      <c r="A8" s="44"/>
      <c r="B8" s="44"/>
      <c r="C8" s="44"/>
      <c r="D8" s="46"/>
      <c r="E8" s="46"/>
      <c r="F8" s="53"/>
      <c r="G8" s="53"/>
      <c r="H8" s="53"/>
    </row>
    <row r="9" s="43" customFormat="true" ht="12.75" hidden="false" customHeight="false" outlineLevel="0" collapsed="false">
      <c r="A9" s="44"/>
      <c r="B9" s="44"/>
      <c r="C9" s="44"/>
      <c r="D9" s="46"/>
      <c r="E9" s="46"/>
      <c r="F9" s="53"/>
      <c r="G9" s="53"/>
      <c r="H9" s="53"/>
    </row>
    <row r="10" s="43" customFormat="true" ht="12.75" hidden="false" customHeight="false" outlineLevel="0" collapsed="false">
      <c r="A10" s="44"/>
      <c r="B10" s="44"/>
      <c r="C10" s="44"/>
      <c r="D10" s="46"/>
      <c r="E10" s="46"/>
      <c r="F10" s="53"/>
      <c r="G10" s="53"/>
      <c r="H10" s="53"/>
    </row>
    <row r="11" s="43" customFormat="true" ht="12.75" hidden="false" customHeight="false" outlineLevel="0" collapsed="false">
      <c r="A11" s="44"/>
      <c r="B11" s="44"/>
      <c r="C11" s="44"/>
      <c r="D11" s="46"/>
      <c r="E11" s="46"/>
      <c r="F11" s="53"/>
      <c r="G11" s="53"/>
      <c r="H11" s="53"/>
    </row>
    <row r="12" s="43" customFormat="true" ht="12.75" hidden="false" customHeight="false" outlineLevel="0" collapsed="false">
      <c r="A12" s="44"/>
      <c r="B12" s="44"/>
      <c r="C12" s="44"/>
      <c r="D12" s="46"/>
      <c r="E12" s="46"/>
      <c r="F12" s="53"/>
      <c r="G12" s="53"/>
      <c r="H12" s="53"/>
    </row>
    <row r="13" customFormat="false" ht="12.75" hidden="false" customHeight="false" outlineLevel="0" collapsed="false">
      <c r="A13" s="44"/>
      <c r="B13" s="44"/>
      <c r="C13" s="44"/>
      <c r="D13" s="46"/>
      <c r="E13" s="46"/>
      <c r="F13" s="53"/>
      <c r="G13" s="53"/>
      <c r="H13" s="53"/>
    </row>
  </sheetData>
  <printOptions headings="false" gridLines="false" gridLinesSet="true" horizontalCentered="false" verticalCentered="false"/>
  <pageMargins left="0.170138888888889" right="0.159722222222222" top="0.170138888888889" bottom="0.2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2:A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0" topLeftCell="D1" activePane="topRight" state="frozen"/>
      <selection pane="topLeft" activeCell="A1" activeCellId="0" sqref="A1"/>
      <selection pane="topRight" activeCell="A1" activeCellId="0" sqref="A1"/>
    </sheetView>
  </sheetViews>
  <sheetFormatPr defaultColWidth="8.88671875" defaultRowHeight="12.75" zeroHeight="false" outlineLevelRow="0" outlineLevelCol="0"/>
  <cols>
    <col collapsed="false" customWidth="true" hidden="false" outlineLevel="0" max="1" min="1" style="55" width="5.56"/>
    <col collapsed="false" customWidth="true" hidden="false" outlineLevel="0" max="2" min="2" style="55" width="28.78"/>
    <col collapsed="false" customWidth="true" hidden="false" outlineLevel="0" max="3" min="3" style="55" width="23.88"/>
    <col collapsed="false" customWidth="true" hidden="false" outlineLevel="0" max="4" min="4" style="55" width="17"/>
    <col collapsed="false" customWidth="true" hidden="false" outlineLevel="0" max="5" min="5" style="55" width="7.77"/>
    <col collapsed="false" customWidth="true" hidden="false" outlineLevel="0" max="6" min="6" style="55" width="17.67"/>
    <col collapsed="false" customWidth="true" hidden="false" outlineLevel="0" max="7" min="7" style="55" width="10.56"/>
    <col collapsed="false" customWidth="false" hidden="false" outlineLevel="0" max="9" min="8" style="55" width="8.88"/>
    <col collapsed="false" customWidth="true" hidden="false" outlineLevel="0" max="11" min="10" style="55" width="8.67"/>
    <col collapsed="false" customWidth="true" hidden="false" outlineLevel="0" max="12" min="12" style="55" width="7.11"/>
    <col collapsed="false" customWidth="true" hidden="false" outlineLevel="0" max="13" min="13" style="55" width="10.21"/>
    <col collapsed="false" customWidth="true" hidden="false" outlineLevel="0" max="14" min="14" style="55" width="13"/>
    <col collapsed="false" customWidth="false" hidden="false" outlineLevel="0" max="16" min="15" style="55" width="8.88"/>
    <col collapsed="false" customWidth="true" hidden="false" outlineLevel="0" max="17" min="17" style="55" width="10.56"/>
    <col collapsed="false" customWidth="true" hidden="false" outlineLevel="0" max="18" min="18" style="55" width="12.56"/>
    <col collapsed="false" customWidth="true" hidden="false" outlineLevel="0" max="19" min="19" style="55" width="12.33"/>
    <col collapsed="false" customWidth="true" hidden="false" outlineLevel="0" max="20" min="20" style="55" width="14.56"/>
    <col collapsed="false" customWidth="false" hidden="false" outlineLevel="0" max="21" min="21" style="55" width="8.88"/>
    <col collapsed="false" customWidth="true" hidden="false" outlineLevel="0" max="22" min="22" style="55" width="12"/>
    <col collapsed="false" customWidth="true" hidden="false" outlineLevel="0" max="23" min="23" style="55" width="11"/>
    <col collapsed="false" customWidth="true" hidden="false" outlineLevel="0" max="24" min="24" style="55" width="11.77"/>
    <col collapsed="false" customWidth="true" hidden="false" outlineLevel="0" max="25" min="25" style="55" width="12.33"/>
    <col collapsed="false" customWidth="true" hidden="false" outlineLevel="0" max="26" min="26" style="55" width="10"/>
    <col collapsed="false" customWidth="true" hidden="false" outlineLevel="0" max="27" min="27" style="55" width="12"/>
    <col collapsed="false" customWidth="true" hidden="false" outlineLevel="0" max="28" min="28" style="55" width="13.56"/>
    <col collapsed="false" customWidth="true" hidden="false" outlineLevel="0" max="29" min="29" style="55" width="15"/>
    <col collapsed="false" customWidth="true" hidden="false" outlineLevel="0" max="30" min="30" style="55" width="11.56"/>
    <col collapsed="false" customWidth="true" hidden="false" outlineLevel="0" max="31" min="31" style="55" width="8.67"/>
    <col collapsed="false" customWidth="true" hidden="true" outlineLevel="0" max="32" min="32" style="55" width="10.11"/>
    <col collapsed="false" customWidth="true" hidden="true" outlineLevel="0" max="33" min="33" style="55" width="11.33"/>
    <col collapsed="false" customWidth="true" hidden="false" outlineLevel="0" max="34" min="34" style="55" width="12.33"/>
    <col collapsed="false" customWidth="true" hidden="false" outlineLevel="0" max="35" min="35" style="55" width="12.67"/>
    <col collapsed="false" customWidth="false" hidden="false" outlineLevel="0" max="16384" min="36" style="55" width="8.88"/>
  </cols>
  <sheetData>
    <row r="2" customFormat="false" ht="23.25" hidden="false" customHeight="true" outlineLevel="0" collapsed="false">
      <c r="A2" s="56"/>
      <c r="B2" s="56"/>
      <c r="C2" s="57" t="s">
        <v>87</v>
      </c>
      <c r="D2" s="57"/>
      <c r="E2" s="57"/>
      <c r="F2" s="57"/>
      <c r="G2" s="57"/>
      <c r="H2" s="57"/>
      <c r="I2" s="57"/>
      <c r="J2" s="57"/>
      <c r="K2" s="58"/>
      <c r="L2" s="56"/>
      <c r="M2" s="59"/>
      <c r="N2" s="59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</row>
    <row r="3" customFormat="false" ht="12.75" hidden="false" customHeight="false" outlineLevel="0" collapsed="false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</row>
    <row r="4" customFormat="false" ht="15.75" hidden="false" customHeight="true" outlineLevel="0" collapsed="false">
      <c r="A4" s="56"/>
      <c r="B4" s="56"/>
      <c r="C4" s="60" t="s">
        <v>88</v>
      </c>
      <c r="D4" s="60"/>
      <c r="E4" s="60"/>
      <c r="F4" s="61"/>
      <c r="G4" s="61"/>
      <c r="H4" s="61"/>
      <c r="I4" s="61"/>
      <c r="J4" s="61"/>
      <c r="K4" s="60"/>
      <c r="L4" s="56"/>
      <c r="M4" s="62"/>
      <c r="N4" s="62"/>
      <c r="O4" s="63"/>
      <c r="P4" s="64"/>
      <c r="Q4" s="64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56"/>
      <c r="AD4" s="56"/>
      <c r="AE4" s="56"/>
      <c r="AF4" s="56"/>
      <c r="AG4" s="56"/>
    </row>
    <row r="5" customFormat="false" ht="14.25" hidden="false" customHeight="true" outlineLevel="0" collapsed="false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66"/>
      <c r="N5" s="66"/>
      <c r="O5" s="56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8"/>
      <c r="AB5" s="68"/>
      <c r="AC5" s="56"/>
      <c r="AD5" s="56"/>
      <c r="AE5" s="56"/>
      <c r="AF5" s="56"/>
      <c r="AG5" s="56"/>
    </row>
    <row r="6" customFormat="false" ht="15" hidden="false" customHeight="true" outlineLevel="0" collapsed="false">
      <c r="A6" s="56"/>
      <c r="B6" s="56"/>
      <c r="C6" s="66" t="s">
        <v>89</v>
      </c>
      <c r="D6" s="66"/>
      <c r="E6" s="66"/>
      <c r="F6" s="61"/>
      <c r="G6" s="61"/>
      <c r="H6" s="61"/>
      <c r="I6" s="61"/>
      <c r="J6" s="61"/>
      <c r="K6" s="60"/>
      <c r="L6" s="56"/>
      <c r="M6" s="56"/>
      <c r="N6" s="56"/>
      <c r="O6" s="66"/>
      <c r="P6" s="64"/>
      <c r="Q6" s="64"/>
      <c r="R6" s="69"/>
      <c r="S6" s="69"/>
      <c r="T6" s="69"/>
      <c r="U6" s="69"/>
      <c r="V6" s="69"/>
      <c r="W6" s="69"/>
      <c r="X6" s="69"/>
      <c r="Y6" s="69"/>
      <c r="Z6" s="69"/>
      <c r="AA6" s="67"/>
      <c r="AC6" s="56"/>
      <c r="AD6" s="56" t="s">
        <v>90</v>
      </c>
      <c r="AE6" s="56"/>
      <c r="AF6" s="56"/>
      <c r="AG6" s="56"/>
    </row>
    <row r="7" customFormat="false" ht="12.75" hidden="false" customHeight="false" outlineLevel="0" collapsed="false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</row>
    <row r="8" customFormat="false" ht="54" hidden="false" customHeight="true" outlineLevel="0" collapsed="false">
      <c r="A8" s="70" t="s">
        <v>91</v>
      </c>
      <c r="B8" s="70" t="s">
        <v>92</v>
      </c>
      <c r="C8" s="70"/>
      <c r="D8" s="70"/>
      <c r="E8" s="70"/>
      <c r="F8" s="70"/>
      <c r="G8" s="70" t="s">
        <v>93</v>
      </c>
      <c r="H8" s="70"/>
      <c r="I8" s="70"/>
      <c r="J8" s="70"/>
      <c r="K8" s="70"/>
      <c r="L8" s="70" t="s">
        <v>94</v>
      </c>
      <c r="M8" s="70" t="s">
        <v>95</v>
      </c>
      <c r="N8" s="70" t="s">
        <v>96</v>
      </c>
      <c r="O8" s="70" t="s">
        <v>97</v>
      </c>
      <c r="P8" s="70"/>
      <c r="Q8" s="70"/>
      <c r="R8" s="70"/>
      <c r="S8" s="70"/>
      <c r="T8" s="70"/>
      <c r="U8" s="70" t="s">
        <v>98</v>
      </c>
      <c r="V8" s="70" t="s">
        <v>99</v>
      </c>
      <c r="W8" s="70" t="s">
        <v>100</v>
      </c>
      <c r="X8" s="70" t="s">
        <v>101</v>
      </c>
      <c r="Y8" s="70" t="s">
        <v>102</v>
      </c>
      <c r="Z8" s="70"/>
      <c r="AA8" s="70"/>
      <c r="AB8" s="70"/>
      <c r="AC8" s="70"/>
      <c r="AD8" s="56"/>
      <c r="AE8" s="71"/>
      <c r="AF8" s="56" t="n">
        <v>45382</v>
      </c>
      <c r="AG8" s="56"/>
    </row>
    <row r="9" customFormat="false" ht="60" hidden="false" customHeight="true" outlineLevel="0" collapsed="false">
      <c r="A9" s="72"/>
      <c r="B9" s="70" t="s">
        <v>103</v>
      </c>
      <c r="C9" s="70" t="s">
        <v>104</v>
      </c>
      <c r="D9" s="70" t="s">
        <v>105</v>
      </c>
      <c r="E9" s="70" t="s">
        <v>106</v>
      </c>
      <c r="F9" s="70" t="s">
        <v>107</v>
      </c>
      <c r="G9" s="70" t="s">
        <v>108</v>
      </c>
      <c r="H9" s="70" t="s">
        <v>109</v>
      </c>
      <c r="I9" s="70" t="s">
        <v>110</v>
      </c>
      <c r="J9" s="70" t="s">
        <v>111</v>
      </c>
      <c r="K9" s="70" t="s">
        <v>112</v>
      </c>
      <c r="L9" s="70"/>
      <c r="M9" s="70"/>
      <c r="N9" s="70"/>
      <c r="O9" s="70" t="s">
        <v>113</v>
      </c>
      <c r="P9" s="70" t="s">
        <v>114</v>
      </c>
      <c r="Q9" s="70" t="s">
        <v>115</v>
      </c>
      <c r="R9" s="70" t="s">
        <v>116</v>
      </c>
      <c r="S9" s="70" t="s">
        <v>117</v>
      </c>
      <c r="T9" s="72" t="s">
        <v>118</v>
      </c>
      <c r="U9" s="70"/>
      <c r="V9" s="70"/>
      <c r="W9" s="70"/>
      <c r="X9" s="70"/>
      <c r="Y9" s="70" t="s">
        <v>119</v>
      </c>
      <c r="Z9" s="70" t="s">
        <v>120</v>
      </c>
      <c r="AA9" s="70" t="s">
        <v>121</v>
      </c>
      <c r="AB9" s="70" t="s">
        <v>122</v>
      </c>
      <c r="AC9" s="70" t="s">
        <v>123</v>
      </c>
      <c r="AD9" s="73" t="s">
        <v>124</v>
      </c>
      <c r="AE9" s="74" t="s">
        <v>125</v>
      </c>
      <c r="AG9" s="56"/>
    </row>
    <row r="10" customFormat="false" ht="12.75" hidden="false" customHeight="false" outlineLevel="0" collapsed="false">
      <c r="A10" s="75" t="n">
        <v>3</v>
      </c>
      <c r="B10" s="76"/>
      <c r="C10" s="77"/>
      <c r="D10" s="77"/>
      <c r="E10" s="78"/>
      <c r="F10" s="79"/>
      <c r="G10" s="80"/>
      <c r="H10" s="81"/>
      <c r="I10" s="82"/>
      <c r="J10" s="82"/>
      <c r="K10" s="83"/>
      <c r="L10" s="84"/>
      <c r="M10" s="85"/>
      <c r="N10" s="86"/>
      <c r="O10" s="86"/>
      <c r="P10" s="87"/>
      <c r="Q10" s="88"/>
      <c r="R10" s="89"/>
      <c r="S10" s="90"/>
      <c r="T10" s="89"/>
      <c r="U10" s="91"/>
      <c r="V10" s="92"/>
      <c r="W10" s="93"/>
      <c r="X10" s="94"/>
      <c r="Y10" s="95"/>
      <c r="Z10" s="96"/>
      <c r="AA10" s="97"/>
      <c r="AB10" s="97"/>
      <c r="AC10" s="98"/>
      <c r="AD10" s="99"/>
      <c r="AE10" s="100"/>
      <c r="AF10" s="101" t="n">
        <v>45743</v>
      </c>
      <c r="AG10" s="102" t="n">
        <f aca="false">DATEDIF($AF$8,AF10,"M")</f>
        <v>11</v>
      </c>
    </row>
    <row r="11" customFormat="false" ht="12.75" hidden="false" customHeight="false" outlineLevel="0" collapsed="false">
      <c r="A11" s="103" t="n">
        <v>4</v>
      </c>
      <c r="B11" s="76"/>
      <c r="C11" s="104"/>
      <c r="D11" s="77"/>
      <c r="E11" s="78"/>
      <c r="F11" s="79"/>
      <c r="G11" s="105"/>
      <c r="H11" s="81"/>
      <c r="I11" s="106"/>
      <c r="J11" s="106"/>
      <c r="K11" s="107"/>
      <c r="L11" s="83"/>
      <c r="M11" s="85"/>
      <c r="N11" s="86"/>
      <c r="O11" s="86"/>
      <c r="P11" s="108"/>
      <c r="Q11" s="88"/>
      <c r="R11" s="89"/>
      <c r="S11" s="109"/>
      <c r="T11" s="89"/>
      <c r="U11" s="110"/>
      <c r="V11" s="111"/>
      <c r="W11" s="112"/>
      <c r="X11" s="113"/>
      <c r="Y11" s="114"/>
      <c r="Z11" s="96"/>
      <c r="AA11" s="97"/>
      <c r="AB11" s="97"/>
      <c r="AC11" s="98"/>
      <c r="AD11" s="115"/>
      <c r="AE11" s="100"/>
      <c r="AF11" s="101" t="n">
        <v>45894</v>
      </c>
      <c r="AG11" s="102" t="n">
        <f aca="false">DATEDIF($AF$8,AF11,"M")</f>
        <v>16</v>
      </c>
    </row>
    <row r="12" customFormat="false" ht="12.75" hidden="false" customHeight="false" outlineLevel="0" collapsed="false">
      <c r="A12" s="103" t="n">
        <v>5</v>
      </c>
      <c r="B12" s="76"/>
      <c r="C12" s="104"/>
      <c r="D12" s="77"/>
      <c r="E12" s="78"/>
      <c r="F12" s="79"/>
      <c r="G12" s="105"/>
      <c r="H12" s="81"/>
      <c r="I12" s="106"/>
      <c r="J12" s="106"/>
      <c r="K12" s="107"/>
      <c r="L12" s="83"/>
      <c r="M12" s="85"/>
      <c r="N12" s="86"/>
      <c r="O12" s="86"/>
      <c r="P12" s="108"/>
      <c r="Q12" s="88"/>
      <c r="R12" s="116"/>
      <c r="S12" s="109"/>
      <c r="T12" s="89"/>
      <c r="U12" s="110"/>
      <c r="V12" s="117"/>
      <c r="W12" s="117"/>
      <c r="X12" s="117"/>
      <c r="Y12" s="114"/>
      <c r="Z12" s="96"/>
      <c r="AA12" s="97"/>
      <c r="AB12" s="97"/>
      <c r="AC12" s="98"/>
      <c r="AD12" s="115"/>
      <c r="AE12" s="100"/>
      <c r="AF12" s="101" t="n">
        <v>46550</v>
      </c>
      <c r="AG12" s="102" t="n">
        <f aca="false">DATEDIF($AF$8,AF12,"M")</f>
        <v>38</v>
      </c>
    </row>
    <row r="13" customFormat="false" ht="12.75" hidden="false" customHeight="false" outlineLevel="0" collapsed="false">
      <c r="A13" s="103" t="n">
        <v>6</v>
      </c>
      <c r="B13" s="118"/>
      <c r="C13" s="119"/>
      <c r="D13" s="77"/>
      <c r="E13" s="110"/>
      <c r="F13" s="119"/>
      <c r="G13" s="105"/>
      <c r="H13" s="81"/>
      <c r="I13" s="106"/>
      <c r="J13" s="106"/>
      <c r="K13" s="107"/>
      <c r="L13" s="83"/>
      <c r="M13" s="85"/>
      <c r="N13" s="86"/>
      <c r="O13" s="86"/>
      <c r="P13" s="108"/>
      <c r="Q13" s="88"/>
      <c r="R13" s="116"/>
      <c r="S13" s="109"/>
      <c r="T13" s="89"/>
      <c r="U13" s="110"/>
      <c r="V13" s="117"/>
      <c r="W13" s="117"/>
      <c r="X13" s="117"/>
      <c r="Y13" s="114"/>
      <c r="Z13" s="96"/>
      <c r="AA13" s="97"/>
      <c r="AB13" s="97"/>
      <c r="AC13" s="98"/>
      <c r="AD13" s="115"/>
      <c r="AE13" s="100"/>
      <c r="AF13" s="101" t="n">
        <v>49237</v>
      </c>
      <c r="AG13" s="102" t="n">
        <f aca="false">DATEDIF($AF$8,AF13,"M")</f>
        <v>126</v>
      </c>
    </row>
    <row r="14" customFormat="false" ht="12.75" hidden="false" customHeight="false" outlineLevel="0" collapsed="false">
      <c r="A14" s="103" t="n">
        <v>7</v>
      </c>
      <c r="B14" s="118"/>
      <c r="C14" s="119"/>
      <c r="D14" s="119"/>
      <c r="E14" s="110"/>
      <c r="F14" s="79"/>
      <c r="G14" s="105"/>
      <c r="H14" s="81"/>
      <c r="I14" s="106"/>
      <c r="J14" s="106"/>
      <c r="K14" s="107"/>
      <c r="L14" s="83"/>
      <c r="M14" s="85"/>
      <c r="N14" s="86"/>
      <c r="O14" s="86"/>
      <c r="P14" s="108"/>
      <c r="Q14" s="88"/>
      <c r="R14" s="116"/>
      <c r="S14" s="109"/>
      <c r="T14" s="89"/>
      <c r="U14" s="110"/>
      <c r="V14" s="117"/>
      <c r="W14" s="117"/>
      <c r="X14" s="117"/>
      <c r="Y14" s="114"/>
      <c r="Z14" s="96"/>
      <c r="AA14" s="97"/>
      <c r="AB14" s="97"/>
      <c r="AC14" s="98"/>
      <c r="AD14" s="115"/>
      <c r="AE14" s="100"/>
      <c r="AF14" s="56"/>
      <c r="AG14" s="120"/>
    </row>
    <row r="15" customFormat="false" ht="12.75" hidden="false" customHeight="false" outlineLevel="0" collapsed="false">
      <c r="A15" s="103" t="n">
        <v>8</v>
      </c>
      <c r="B15" s="121"/>
      <c r="C15" s="122"/>
      <c r="D15" s="122"/>
      <c r="E15" s="122"/>
      <c r="F15" s="122"/>
      <c r="G15" s="123"/>
      <c r="H15" s="124"/>
      <c r="I15" s="123"/>
      <c r="J15" s="123"/>
      <c r="K15" s="125"/>
      <c r="L15" s="126"/>
      <c r="M15" s="122"/>
      <c r="N15" s="127"/>
      <c r="O15" s="128"/>
      <c r="P15" s="127"/>
      <c r="Q15" s="129"/>
      <c r="R15" s="130"/>
      <c r="S15" s="131"/>
      <c r="T15" s="132"/>
      <c r="U15" s="133"/>
      <c r="V15" s="134"/>
      <c r="W15" s="123"/>
      <c r="X15" s="127"/>
      <c r="Y15" s="135"/>
      <c r="Z15" s="136"/>
      <c r="AA15" s="124"/>
      <c r="AB15" s="137"/>
      <c r="AC15" s="91"/>
      <c r="AD15" s="132"/>
      <c r="AE15" s="138"/>
      <c r="AF15" s="56"/>
      <c r="AG15" s="120"/>
    </row>
    <row r="16" customFormat="false" ht="12.75" hidden="false" customHeight="false" outlineLevel="0" collapsed="false">
      <c r="A16" s="103" t="n">
        <v>9</v>
      </c>
      <c r="B16" s="121"/>
      <c r="C16" s="122"/>
      <c r="D16" s="122"/>
      <c r="E16" s="122"/>
      <c r="F16" s="122"/>
      <c r="G16" s="123"/>
      <c r="H16" s="124"/>
      <c r="I16" s="123"/>
      <c r="J16" s="123"/>
      <c r="K16" s="125"/>
      <c r="L16" s="126"/>
      <c r="M16" s="122"/>
      <c r="N16" s="127"/>
      <c r="O16" s="128"/>
      <c r="P16" s="127"/>
      <c r="Q16" s="129"/>
      <c r="R16" s="130"/>
      <c r="S16" s="131"/>
      <c r="T16" s="132"/>
      <c r="U16" s="133"/>
      <c r="V16" s="134"/>
      <c r="W16" s="123"/>
      <c r="X16" s="127"/>
      <c r="Y16" s="135"/>
      <c r="Z16" s="136"/>
      <c r="AA16" s="124"/>
      <c r="AB16" s="137"/>
      <c r="AC16" s="91"/>
      <c r="AD16" s="132"/>
      <c r="AE16" s="138"/>
      <c r="AF16" s="56"/>
      <c r="AG16" s="120"/>
    </row>
    <row r="17" customFormat="false" ht="12.75" hidden="false" customHeight="false" outlineLevel="0" collapsed="false">
      <c r="A17" s="103" t="n">
        <v>10</v>
      </c>
      <c r="B17" s="121"/>
      <c r="C17" s="122"/>
      <c r="D17" s="122"/>
      <c r="E17" s="122"/>
      <c r="F17" s="122"/>
      <c r="G17" s="123"/>
      <c r="H17" s="124"/>
      <c r="I17" s="123"/>
      <c r="J17" s="123"/>
      <c r="K17" s="125"/>
      <c r="L17" s="126"/>
      <c r="M17" s="122"/>
      <c r="N17" s="127"/>
      <c r="O17" s="128"/>
      <c r="P17" s="127"/>
      <c r="Q17" s="129"/>
      <c r="R17" s="130"/>
      <c r="S17" s="131"/>
      <c r="T17" s="132"/>
      <c r="U17" s="133"/>
      <c r="V17" s="134"/>
      <c r="W17" s="123"/>
      <c r="X17" s="127"/>
      <c r="Y17" s="135"/>
      <c r="Z17" s="136"/>
      <c r="AA17" s="124"/>
      <c r="AB17" s="137"/>
      <c r="AC17" s="91"/>
      <c r="AD17" s="132"/>
      <c r="AE17" s="138"/>
      <c r="AF17" s="56"/>
      <c r="AG17" s="120"/>
    </row>
    <row r="18" customFormat="false" ht="12.75" hidden="false" customHeight="false" outlineLevel="0" collapsed="false">
      <c r="A18" s="103" t="n">
        <v>11</v>
      </c>
      <c r="B18" s="121"/>
      <c r="C18" s="139"/>
      <c r="D18" s="139"/>
      <c r="E18" s="139"/>
      <c r="F18" s="139"/>
      <c r="G18" s="140"/>
      <c r="H18" s="141"/>
      <c r="I18" s="140"/>
      <c r="J18" s="140"/>
      <c r="K18" s="142"/>
      <c r="L18" s="143"/>
      <c r="M18" s="139"/>
      <c r="N18" s="127"/>
      <c r="O18" s="128"/>
      <c r="P18" s="127"/>
      <c r="Q18" s="129"/>
      <c r="R18" s="130"/>
      <c r="S18" s="135"/>
      <c r="T18" s="132"/>
      <c r="U18" s="133"/>
      <c r="V18" s="132"/>
      <c r="W18" s="135"/>
      <c r="X18" s="132"/>
      <c r="Y18" s="135"/>
      <c r="Z18" s="136"/>
      <c r="AA18" s="144"/>
      <c r="AB18" s="136"/>
      <c r="AC18" s="136"/>
      <c r="AD18" s="132"/>
      <c r="AE18" s="145"/>
      <c r="AF18" s="56"/>
      <c r="AG18" s="120"/>
    </row>
    <row r="19" customFormat="false" ht="12.75" hidden="false" customHeight="false" outlineLevel="0" collapsed="false">
      <c r="A19" s="103" t="n">
        <v>12</v>
      </c>
      <c r="B19" s="146"/>
      <c r="C19" s="139"/>
      <c r="D19" s="139"/>
      <c r="E19" s="139"/>
      <c r="F19" s="139"/>
      <c r="G19" s="140"/>
      <c r="H19" s="147"/>
      <c r="I19" s="139"/>
      <c r="J19" s="139"/>
      <c r="K19" s="139"/>
      <c r="L19" s="148"/>
      <c r="M19" s="139"/>
      <c r="N19" s="149"/>
      <c r="O19" s="150"/>
      <c r="P19" s="149"/>
      <c r="Q19" s="151"/>
      <c r="R19" s="152"/>
      <c r="S19" s="153"/>
      <c r="T19" s="152"/>
      <c r="U19" s="139"/>
      <c r="V19" s="147"/>
      <c r="W19" s="140"/>
      <c r="X19" s="147"/>
      <c r="Y19" s="140"/>
      <c r="Z19" s="140"/>
      <c r="AA19" s="147"/>
      <c r="AB19" s="140"/>
      <c r="AC19" s="140"/>
      <c r="AD19" s="147"/>
      <c r="AE19" s="154"/>
      <c r="AF19" s="155"/>
      <c r="AG19" s="56"/>
    </row>
    <row r="20" customFormat="false" ht="13.5" hidden="false" customHeight="true" outlineLevel="0" collapsed="false">
      <c r="A20" s="156"/>
      <c r="B20" s="157"/>
      <c r="C20" s="158"/>
      <c r="D20" s="158"/>
      <c r="E20" s="158"/>
      <c r="F20" s="158"/>
      <c r="G20" s="159"/>
      <c r="H20" s="160"/>
      <c r="I20" s="161"/>
      <c r="J20" s="161"/>
      <c r="K20" s="161"/>
      <c r="L20" s="162"/>
      <c r="M20" s="163"/>
      <c r="N20" s="164"/>
      <c r="O20" s="165"/>
      <c r="P20" s="164"/>
      <c r="Q20" s="166"/>
      <c r="R20" s="167"/>
      <c r="S20" s="168"/>
      <c r="T20" s="167"/>
      <c r="U20" s="163"/>
      <c r="V20" s="160"/>
      <c r="W20" s="159"/>
      <c r="X20" s="160"/>
      <c r="Y20" s="159"/>
      <c r="Z20" s="159"/>
      <c r="AA20" s="160"/>
      <c r="AB20" s="159"/>
      <c r="AC20" s="169"/>
      <c r="AD20" s="160"/>
      <c r="AE20" s="170"/>
      <c r="AF20" s="56"/>
      <c r="AG20" s="71"/>
    </row>
    <row r="21" customFormat="false" ht="13.5" hidden="false" customHeight="true" outlineLevel="0" collapsed="false">
      <c r="A21" s="171" t="s">
        <v>108</v>
      </c>
      <c r="B21" s="172"/>
      <c r="C21" s="171"/>
      <c r="D21" s="171"/>
      <c r="E21" s="171"/>
      <c r="F21" s="171"/>
      <c r="G21" s="173" t="n">
        <f aca="false">SUM(G10:G20)</f>
        <v>0</v>
      </c>
      <c r="H21" s="173" t="n">
        <f aca="false">SUM(H10:H20)</f>
        <v>0</v>
      </c>
      <c r="I21" s="173" t="n">
        <f aca="false">SUM(I10:I20)</f>
        <v>0</v>
      </c>
      <c r="J21" s="173" t="n">
        <f aca="false">SUM(J10:J20)</f>
        <v>0</v>
      </c>
      <c r="K21" s="173"/>
      <c r="L21" s="173"/>
      <c r="M21" s="173"/>
      <c r="N21" s="173"/>
      <c r="O21" s="173"/>
      <c r="P21" s="173"/>
      <c r="Q21" s="173"/>
      <c r="R21" s="174" t="n">
        <f aca="false">SUM(R10:R20)</f>
        <v>0</v>
      </c>
      <c r="S21" s="174" t="n">
        <f aca="false">SUM(S10:S20)</f>
        <v>0</v>
      </c>
      <c r="T21" s="174" t="n">
        <f aca="false">SUM(T10:T20)</f>
        <v>0</v>
      </c>
      <c r="U21" s="173"/>
      <c r="V21" s="174" t="n">
        <f aca="false">SUM(V10:V20)</f>
        <v>0</v>
      </c>
      <c r="W21" s="174" t="n">
        <f aca="false">SUM(W10:W20)</f>
        <v>0</v>
      </c>
      <c r="X21" s="173" t="n">
        <f aca="false">SUM(X10:X20)</f>
        <v>0</v>
      </c>
      <c r="Y21" s="174" t="n">
        <f aca="false">SUM(Y10:Y20)</f>
        <v>0</v>
      </c>
      <c r="Z21" s="174"/>
      <c r="AA21" s="174" t="n">
        <f aca="false">SUM(AA10:AA20)</f>
        <v>0</v>
      </c>
      <c r="AB21" s="174" t="n">
        <f aca="false">SUM(AB10:AB20)</f>
        <v>0</v>
      </c>
      <c r="AC21" s="174" t="n">
        <f aca="false">SUM(AC10:AC20)</f>
        <v>0</v>
      </c>
      <c r="AD21" s="173" t="n">
        <f aca="false">SUM(AD10:AD20)</f>
        <v>0</v>
      </c>
      <c r="AE21" s="173"/>
      <c r="AF21" s="175"/>
      <c r="AG21" s="175"/>
    </row>
  </sheetData>
  <mergeCells count="4">
    <mergeCell ref="C2:J2"/>
    <mergeCell ref="F4:J4"/>
    <mergeCell ref="AA5:AB5"/>
    <mergeCell ref="F6:J6"/>
  </mergeCells>
  <printOptions headings="false" gridLines="false" gridLinesSet="true" horizontalCentered="true" verticalCentered="false"/>
  <pageMargins left="0.196527777777778" right="0.196527777777778" top="0.7875" bottom="0.7875" header="0.511811023622047" footer="0.511811023622047"/>
  <pageSetup paperSize="1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2:A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0" topLeftCell="D1" activePane="topRight" state="frozen"/>
      <selection pane="topLeft" activeCell="A1" activeCellId="0" sqref="A1"/>
      <selection pane="topRight" activeCell="A1" activeCellId="0" sqref="A1"/>
    </sheetView>
  </sheetViews>
  <sheetFormatPr defaultColWidth="8.88671875" defaultRowHeight="12.75" zeroHeight="false" outlineLevelRow="0" outlineLevelCol="0"/>
  <cols>
    <col collapsed="false" customWidth="true" hidden="false" outlineLevel="0" max="1" min="1" style="55" width="4.67"/>
    <col collapsed="false" customWidth="true" hidden="false" outlineLevel="0" max="2" min="2" style="55" width="29.33"/>
    <col collapsed="false" customWidth="true" hidden="false" outlineLevel="0" max="3" min="3" style="55" width="26"/>
    <col collapsed="false" customWidth="true" hidden="false" outlineLevel="0" max="4" min="4" style="55" width="17"/>
    <col collapsed="false" customWidth="true" hidden="false" outlineLevel="0" max="5" min="5" style="55" width="9"/>
    <col collapsed="false" customWidth="true" hidden="false" outlineLevel="0" max="6" min="6" style="55" width="16.11"/>
    <col collapsed="false" customWidth="false" hidden="false" outlineLevel="0" max="12" min="7" style="55" width="8.88"/>
    <col collapsed="false" customWidth="true" hidden="false" outlineLevel="0" max="13" min="13" style="55" width="10.44"/>
    <col collapsed="false" customWidth="true" hidden="false" outlineLevel="0" max="14" min="14" style="55" width="11.33"/>
    <col collapsed="false" customWidth="false" hidden="false" outlineLevel="0" max="16" min="15" style="55" width="8.88"/>
    <col collapsed="false" customWidth="true" hidden="false" outlineLevel="0" max="17" min="17" style="55" width="15"/>
    <col collapsed="false" customWidth="true" hidden="false" outlineLevel="0" max="18" min="18" style="55" width="10.56"/>
    <col collapsed="false" customWidth="true" hidden="false" outlineLevel="0" max="19" min="19" style="55" width="12.33"/>
    <col collapsed="false" customWidth="true" hidden="false" outlineLevel="0" max="20" min="20" style="55" width="9.44"/>
    <col collapsed="false" customWidth="true" hidden="false" outlineLevel="0" max="21" min="21" style="55" width="12"/>
    <col collapsed="false" customWidth="true" hidden="false" outlineLevel="0" max="22" min="22" style="55" width="14.88"/>
    <col collapsed="false" customWidth="true" hidden="false" outlineLevel="0" max="23" min="23" style="55" width="11.56"/>
    <col collapsed="false" customWidth="true" hidden="false" outlineLevel="0" max="24" min="24" style="55" width="15"/>
    <col collapsed="false" customWidth="true" hidden="false" outlineLevel="0" max="26" min="25" style="55" width="12.67"/>
    <col collapsed="false" customWidth="true" hidden="false" outlineLevel="0" max="27" min="27" style="55" width="11.56"/>
    <col collapsed="false" customWidth="true" hidden="false" outlineLevel="0" max="28" min="28" style="55" width="11"/>
    <col collapsed="false" customWidth="true" hidden="false" outlineLevel="0" max="29" min="29" style="55" width="10.11"/>
    <col collapsed="false" customWidth="true" hidden="false" outlineLevel="0" max="30" min="30" style="55" width="9.11"/>
    <col collapsed="false" customWidth="true" hidden="false" outlineLevel="0" max="31" min="31" style="55" width="14"/>
    <col collapsed="false" customWidth="true" hidden="false" outlineLevel="0" max="32" min="32" style="55" width="9.88"/>
    <col collapsed="false" customWidth="false" hidden="false" outlineLevel="0" max="16384" min="33" style="55" width="8.88"/>
  </cols>
  <sheetData>
    <row r="2" customFormat="false" ht="23.25" hidden="false" customHeight="true" outlineLevel="0" collapsed="false">
      <c r="A2" s="56"/>
      <c r="B2" s="56"/>
      <c r="C2" s="57" t="s">
        <v>126</v>
      </c>
      <c r="D2" s="57"/>
      <c r="E2" s="57"/>
      <c r="F2" s="57"/>
      <c r="G2" s="57"/>
      <c r="H2" s="57"/>
      <c r="I2" s="57"/>
      <c r="J2" s="57"/>
      <c r="K2" s="58"/>
      <c r="L2" s="56"/>
      <c r="M2" s="59"/>
      <c r="N2" s="59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</row>
    <row r="3" customFormat="false" ht="12.75" hidden="false" customHeight="false" outlineLevel="0" collapsed="false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</row>
    <row r="4" customFormat="false" ht="15.75" hidden="false" customHeight="true" outlineLevel="0" collapsed="false">
      <c r="A4" s="56"/>
      <c r="B4" s="56"/>
      <c r="C4" s="60" t="s">
        <v>127</v>
      </c>
      <c r="D4" s="60"/>
      <c r="E4" s="60"/>
      <c r="F4" s="61"/>
      <c r="G4" s="61"/>
      <c r="H4" s="61"/>
      <c r="I4" s="61"/>
      <c r="J4" s="61"/>
      <c r="K4" s="60"/>
      <c r="L4" s="56"/>
      <c r="M4" s="62"/>
      <c r="N4" s="62"/>
      <c r="O4" s="63"/>
      <c r="P4" s="64"/>
      <c r="Q4" s="64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56"/>
    </row>
    <row r="5" customFormat="false" ht="14.25" hidden="false" customHeight="true" outlineLevel="0" collapsed="false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66"/>
      <c r="N5" s="66"/>
      <c r="O5" s="56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8" t="s">
        <v>90</v>
      </c>
      <c r="AB5" s="68"/>
      <c r="AC5" s="56"/>
    </row>
    <row r="6" customFormat="false" ht="15" hidden="false" customHeight="true" outlineLevel="0" collapsed="false">
      <c r="A6" s="56"/>
      <c r="B6" s="56"/>
      <c r="C6" s="66" t="s">
        <v>89</v>
      </c>
      <c r="D6" s="66"/>
      <c r="E6" s="66"/>
      <c r="F6" s="61"/>
      <c r="G6" s="61"/>
      <c r="H6" s="61"/>
      <c r="I6" s="61"/>
      <c r="J6" s="61"/>
      <c r="K6" s="60"/>
      <c r="L6" s="56"/>
      <c r="M6" s="56"/>
      <c r="N6" s="56"/>
      <c r="O6" s="66"/>
      <c r="P6" s="64"/>
      <c r="Q6" s="64"/>
      <c r="R6" s="69"/>
      <c r="S6" s="69"/>
      <c r="T6" s="69"/>
      <c r="U6" s="69"/>
      <c r="V6" s="69"/>
      <c r="W6" s="69"/>
      <c r="X6" s="69"/>
      <c r="Y6" s="69"/>
      <c r="Z6" s="69"/>
      <c r="AA6" s="67"/>
      <c r="AC6" s="56"/>
    </row>
    <row r="7" customFormat="false" ht="12.75" hidden="false" customHeight="false" outlineLevel="0" collapsed="false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</row>
    <row r="8" customFormat="false" ht="54" hidden="false" customHeight="true" outlineLevel="0" collapsed="false">
      <c r="A8" s="70" t="s">
        <v>91</v>
      </c>
      <c r="B8" s="70" t="s">
        <v>128</v>
      </c>
      <c r="C8" s="70"/>
      <c r="D8" s="70"/>
      <c r="E8" s="70"/>
      <c r="F8" s="70"/>
      <c r="G8" s="70" t="s">
        <v>93</v>
      </c>
      <c r="H8" s="70"/>
      <c r="I8" s="70"/>
      <c r="J8" s="70"/>
      <c r="K8" s="70"/>
      <c r="L8" s="70" t="s">
        <v>129</v>
      </c>
      <c r="M8" s="70" t="s">
        <v>95</v>
      </c>
      <c r="N8" s="70" t="s">
        <v>97</v>
      </c>
      <c r="O8" s="70"/>
      <c r="P8" s="70"/>
      <c r="Q8" s="70"/>
      <c r="R8" s="70" t="s">
        <v>130</v>
      </c>
      <c r="S8" s="70" t="s">
        <v>99</v>
      </c>
      <c r="T8" s="70" t="s">
        <v>100</v>
      </c>
      <c r="U8" s="70" t="s">
        <v>101</v>
      </c>
      <c r="V8" s="70" t="s">
        <v>131</v>
      </c>
      <c r="W8" s="70"/>
      <c r="X8" s="70"/>
      <c r="Y8" s="70"/>
      <c r="Z8" s="70"/>
      <c r="AA8" s="70"/>
      <c r="AB8" s="70"/>
      <c r="AC8" s="70" t="s">
        <v>132</v>
      </c>
    </row>
    <row r="9" customFormat="false" ht="60" hidden="false" customHeight="true" outlineLevel="0" collapsed="false">
      <c r="A9" s="72"/>
      <c r="B9" s="70" t="s">
        <v>103</v>
      </c>
      <c r="C9" s="70" t="s">
        <v>104</v>
      </c>
      <c r="D9" s="70" t="s">
        <v>105</v>
      </c>
      <c r="E9" s="70" t="s">
        <v>106</v>
      </c>
      <c r="F9" s="70" t="s">
        <v>107</v>
      </c>
      <c r="G9" s="70" t="s">
        <v>108</v>
      </c>
      <c r="H9" s="70" t="s">
        <v>133</v>
      </c>
      <c r="I9" s="70" t="s">
        <v>110</v>
      </c>
      <c r="J9" s="70" t="s">
        <v>134</v>
      </c>
      <c r="K9" s="70" t="s">
        <v>112</v>
      </c>
      <c r="L9" s="70"/>
      <c r="M9" s="70"/>
      <c r="N9" s="70" t="s">
        <v>135</v>
      </c>
      <c r="O9" s="70" t="s">
        <v>136</v>
      </c>
      <c r="P9" s="70" t="s">
        <v>137</v>
      </c>
      <c r="Q9" s="70" t="s">
        <v>118</v>
      </c>
      <c r="R9" s="70"/>
      <c r="S9" s="70"/>
      <c r="T9" s="72"/>
      <c r="U9" s="70"/>
      <c r="V9" s="70" t="s">
        <v>38</v>
      </c>
      <c r="W9" s="70" t="s">
        <v>138</v>
      </c>
      <c r="X9" s="70" t="s">
        <v>139</v>
      </c>
      <c r="Y9" s="70" t="s">
        <v>140</v>
      </c>
      <c r="Z9" s="70" t="s">
        <v>141</v>
      </c>
      <c r="AA9" s="70" t="s">
        <v>142</v>
      </c>
      <c r="AB9" s="70" t="s">
        <v>143</v>
      </c>
      <c r="AC9" s="70"/>
    </row>
    <row r="10" customFormat="false" ht="13.5" hidden="false" customHeight="true" outlineLevel="0" collapsed="false">
      <c r="A10" s="176" t="n">
        <v>1</v>
      </c>
      <c r="B10" s="177"/>
      <c r="C10" s="178"/>
      <c r="D10" s="179"/>
      <c r="E10" s="180"/>
      <c r="F10" s="180"/>
      <c r="G10" s="181"/>
      <c r="H10" s="182"/>
      <c r="I10" s="183"/>
      <c r="J10" s="183"/>
      <c r="K10" s="184"/>
      <c r="L10" s="184"/>
      <c r="M10" s="185"/>
      <c r="N10" s="186"/>
      <c r="O10" s="187"/>
      <c r="P10" s="187"/>
      <c r="Q10" s="188"/>
      <c r="R10" s="189"/>
      <c r="S10" s="190"/>
      <c r="T10" s="190"/>
      <c r="U10" s="190"/>
      <c r="V10" s="191"/>
      <c r="W10" s="192"/>
      <c r="X10" s="193"/>
      <c r="Y10" s="194"/>
      <c r="Z10" s="195"/>
      <c r="AA10" s="196"/>
      <c r="AB10" s="194"/>
      <c r="AC10" s="194"/>
    </row>
    <row r="11" customFormat="false" ht="13.5" hidden="false" customHeight="true" outlineLevel="0" collapsed="false">
      <c r="A11" s="103" t="n">
        <v>2</v>
      </c>
      <c r="B11" s="197"/>
      <c r="C11" s="198"/>
      <c r="D11" s="198"/>
      <c r="E11" s="199"/>
      <c r="F11" s="199"/>
      <c r="G11" s="200"/>
      <c r="H11" s="201"/>
      <c r="I11" s="202"/>
      <c r="J11" s="202"/>
      <c r="K11" s="203"/>
      <c r="L11" s="203"/>
      <c r="M11" s="204"/>
      <c r="N11" s="205"/>
      <c r="O11" s="206"/>
      <c r="P11" s="206"/>
      <c r="Q11" s="207"/>
      <c r="R11" s="189"/>
      <c r="S11" s="190"/>
      <c r="T11" s="190"/>
      <c r="U11" s="190"/>
      <c r="V11" s="191"/>
      <c r="W11" s="208"/>
      <c r="X11" s="191"/>
      <c r="Y11" s="209"/>
      <c r="Z11" s="195"/>
      <c r="AA11" s="196"/>
      <c r="AB11" s="209"/>
      <c r="AC11" s="209"/>
    </row>
    <row r="12" customFormat="false" ht="13.5" hidden="false" customHeight="true" outlineLevel="0" collapsed="false">
      <c r="A12" s="103" t="n">
        <v>3</v>
      </c>
      <c r="B12" s="197"/>
      <c r="C12" s="210"/>
      <c r="D12" s="210"/>
      <c r="E12" s="211"/>
      <c r="F12" s="211"/>
      <c r="G12" s="200"/>
      <c r="H12" s="201"/>
      <c r="I12" s="212"/>
      <c r="J12" s="212"/>
      <c r="K12" s="203"/>
      <c r="L12" s="213"/>
      <c r="M12" s="214"/>
      <c r="N12" s="215"/>
      <c r="O12" s="216"/>
      <c r="P12" s="216"/>
      <c r="Q12" s="217"/>
      <c r="R12" s="189"/>
      <c r="S12" s="190"/>
      <c r="T12" s="190"/>
      <c r="U12" s="190"/>
      <c r="V12" s="191"/>
      <c r="W12" s="208"/>
      <c r="X12" s="191"/>
      <c r="Y12" s="195"/>
      <c r="Z12" s="195"/>
      <c r="AA12" s="196"/>
      <c r="AB12" s="195"/>
      <c r="AC12" s="195"/>
    </row>
    <row r="13" customFormat="false" ht="13.5" hidden="false" customHeight="true" outlineLevel="0" collapsed="false">
      <c r="A13" s="103" t="n">
        <v>4</v>
      </c>
      <c r="B13" s="197"/>
      <c r="C13" s="210"/>
      <c r="D13" s="210"/>
      <c r="E13" s="211"/>
      <c r="F13" s="211"/>
      <c r="G13" s="200"/>
      <c r="H13" s="201"/>
      <c r="I13" s="212"/>
      <c r="J13" s="212"/>
      <c r="K13" s="203"/>
      <c r="L13" s="213"/>
      <c r="M13" s="214"/>
      <c r="N13" s="215"/>
      <c r="O13" s="216"/>
      <c r="P13" s="216"/>
      <c r="Q13" s="217"/>
      <c r="R13" s="189"/>
      <c r="S13" s="190"/>
      <c r="T13" s="190"/>
      <c r="U13" s="190"/>
      <c r="V13" s="191"/>
      <c r="W13" s="208"/>
      <c r="X13" s="191"/>
      <c r="Y13" s="195"/>
      <c r="Z13" s="195"/>
      <c r="AA13" s="196"/>
      <c r="AB13" s="195"/>
      <c r="AC13" s="195"/>
    </row>
    <row r="14" customFormat="false" ht="13.5" hidden="false" customHeight="true" outlineLevel="0" collapsed="false">
      <c r="A14" s="103" t="n">
        <v>5</v>
      </c>
      <c r="B14" s="197"/>
      <c r="C14" s="210"/>
      <c r="D14" s="210"/>
      <c r="E14" s="211"/>
      <c r="F14" s="211"/>
      <c r="G14" s="200"/>
      <c r="H14" s="201"/>
      <c r="I14" s="212"/>
      <c r="J14" s="212"/>
      <c r="K14" s="203"/>
      <c r="L14" s="213"/>
      <c r="M14" s="214"/>
      <c r="N14" s="215"/>
      <c r="O14" s="216"/>
      <c r="P14" s="216"/>
      <c r="Q14" s="217"/>
      <c r="R14" s="189"/>
      <c r="S14" s="190"/>
      <c r="T14" s="190"/>
      <c r="U14" s="190"/>
      <c r="V14" s="191"/>
      <c r="W14" s="208"/>
      <c r="X14" s="191"/>
      <c r="Y14" s="195"/>
      <c r="Z14" s="195"/>
      <c r="AA14" s="196"/>
      <c r="AB14" s="195"/>
      <c r="AC14" s="195"/>
    </row>
    <row r="15" customFormat="false" ht="13.5" hidden="false" customHeight="true" outlineLevel="0" collapsed="false">
      <c r="A15" s="103" t="n">
        <v>6</v>
      </c>
      <c r="B15" s="197"/>
      <c r="C15" s="210"/>
      <c r="D15" s="210"/>
      <c r="E15" s="211"/>
      <c r="F15" s="211"/>
      <c r="G15" s="200"/>
      <c r="H15" s="201"/>
      <c r="I15" s="212"/>
      <c r="J15" s="212"/>
      <c r="K15" s="203"/>
      <c r="L15" s="213"/>
      <c r="M15" s="214"/>
      <c r="N15" s="215"/>
      <c r="O15" s="216"/>
      <c r="P15" s="216"/>
      <c r="Q15" s="217"/>
      <c r="R15" s="189"/>
      <c r="S15" s="190"/>
      <c r="T15" s="190"/>
      <c r="U15" s="190"/>
      <c r="V15" s="191"/>
      <c r="W15" s="208"/>
      <c r="X15" s="191"/>
      <c r="Y15" s="195"/>
      <c r="Z15" s="195"/>
      <c r="AA15" s="196"/>
      <c r="AB15" s="195"/>
      <c r="AC15" s="195"/>
    </row>
    <row r="16" customFormat="false" ht="13.5" hidden="false" customHeight="true" outlineLevel="0" collapsed="false">
      <c r="A16" s="103" t="n">
        <v>7</v>
      </c>
      <c r="B16" s="197"/>
      <c r="C16" s="210"/>
      <c r="D16" s="210"/>
      <c r="E16" s="211"/>
      <c r="F16" s="211"/>
      <c r="G16" s="200"/>
      <c r="H16" s="201"/>
      <c r="I16" s="212"/>
      <c r="J16" s="212"/>
      <c r="K16" s="203"/>
      <c r="L16" s="213"/>
      <c r="M16" s="214"/>
      <c r="N16" s="215"/>
      <c r="O16" s="216"/>
      <c r="P16" s="216"/>
      <c r="Q16" s="217"/>
      <c r="R16" s="189"/>
      <c r="S16" s="190"/>
      <c r="T16" s="190"/>
      <c r="U16" s="190"/>
      <c r="V16" s="191"/>
      <c r="W16" s="208"/>
      <c r="X16" s="191"/>
      <c r="Y16" s="195"/>
      <c r="Z16" s="195"/>
      <c r="AA16" s="196"/>
      <c r="AB16" s="195"/>
      <c r="AC16" s="195"/>
    </row>
    <row r="17" customFormat="false" ht="13.5" hidden="false" customHeight="true" outlineLevel="0" collapsed="false">
      <c r="A17" s="103" t="n">
        <v>8</v>
      </c>
      <c r="B17" s="197"/>
      <c r="C17" s="210"/>
      <c r="D17" s="210"/>
      <c r="E17" s="211"/>
      <c r="F17" s="211"/>
      <c r="G17" s="200"/>
      <c r="H17" s="201"/>
      <c r="I17" s="212"/>
      <c r="J17" s="212"/>
      <c r="K17" s="203"/>
      <c r="L17" s="213"/>
      <c r="M17" s="214"/>
      <c r="N17" s="215"/>
      <c r="O17" s="216"/>
      <c r="P17" s="216"/>
      <c r="Q17" s="217"/>
      <c r="R17" s="189"/>
      <c r="S17" s="190"/>
      <c r="T17" s="190"/>
      <c r="U17" s="190"/>
      <c r="V17" s="191"/>
      <c r="W17" s="208"/>
      <c r="X17" s="191"/>
      <c r="Y17" s="195"/>
      <c r="Z17" s="195"/>
      <c r="AA17" s="196"/>
      <c r="AB17" s="195"/>
      <c r="AC17" s="195"/>
    </row>
    <row r="18" customFormat="false" ht="13.5" hidden="false" customHeight="true" outlineLevel="0" collapsed="false">
      <c r="A18" s="103" t="n">
        <v>9</v>
      </c>
      <c r="B18" s="197"/>
      <c r="C18" s="218"/>
      <c r="D18" s="210"/>
      <c r="E18" s="211"/>
      <c r="F18" s="211"/>
      <c r="G18" s="200"/>
      <c r="H18" s="201"/>
      <c r="I18" s="212"/>
      <c r="J18" s="212"/>
      <c r="K18" s="203"/>
      <c r="L18" s="213"/>
      <c r="M18" s="214"/>
      <c r="N18" s="215"/>
      <c r="O18" s="219"/>
      <c r="P18" s="219"/>
      <c r="Q18" s="217"/>
      <c r="R18" s="189"/>
      <c r="S18" s="190"/>
      <c r="T18" s="190"/>
      <c r="U18" s="190"/>
      <c r="V18" s="191"/>
      <c r="W18" s="208"/>
      <c r="X18" s="191"/>
      <c r="Y18" s="195"/>
      <c r="Z18" s="195"/>
      <c r="AA18" s="196"/>
      <c r="AB18" s="195"/>
      <c r="AC18" s="195"/>
    </row>
    <row r="19" customFormat="false" ht="13.5" hidden="false" customHeight="true" outlineLevel="0" collapsed="false">
      <c r="A19" s="103" t="n">
        <v>10</v>
      </c>
      <c r="B19" s="220"/>
      <c r="C19" s="198"/>
      <c r="D19" s="198"/>
      <c r="E19" s="199"/>
      <c r="F19" s="199"/>
      <c r="G19" s="200"/>
      <c r="H19" s="201"/>
      <c r="I19" s="200"/>
      <c r="J19" s="221"/>
      <c r="K19" s="203"/>
      <c r="L19" s="222"/>
      <c r="M19" s="204"/>
      <c r="N19" s="205"/>
      <c r="O19" s="206"/>
      <c r="P19" s="206"/>
      <c r="Q19" s="207"/>
      <c r="R19" s="189"/>
      <c r="S19" s="190"/>
      <c r="T19" s="190"/>
      <c r="U19" s="190"/>
      <c r="V19" s="191"/>
      <c r="W19" s="208"/>
      <c r="X19" s="223"/>
      <c r="Y19" s="209"/>
      <c r="Z19" s="195"/>
      <c r="AA19" s="196"/>
      <c r="AB19" s="195"/>
      <c r="AC19" s="195"/>
    </row>
    <row r="20" customFormat="false" ht="13.5" hidden="false" customHeight="true" outlineLevel="0" collapsed="false">
      <c r="A20" s="103" t="n">
        <v>11</v>
      </c>
      <c r="B20" s="220"/>
      <c r="C20" s="198"/>
      <c r="D20" s="198"/>
      <c r="E20" s="199"/>
      <c r="F20" s="199"/>
      <c r="G20" s="200"/>
      <c r="H20" s="201"/>
      <c r="I20" s="200"/>
      <c r="J20" s="221"/>
      <c r="K20" s="203"/>
      <c r="L20" s="222"/>
      <c r="M20" s="204"/>
      <c r="N20" s="205"/>
      <c r="O20" s="206"/>
      <c r="P20" s="206"/>
      <c r="Q20" s="207"/>
      <c r="R20" s="189"/>
      <c r="S20" s="195"/>
      <c r="T20" s="224"/>
      <c r="U20" s="225"/>
      <c r="V20" s="191"/>
      <c r="W20" s="208"/>
      <c r="X20" s="223"/>
      <c r="Y20" s="209"/>
      <c r="Z20" s="195"/>
      <c r="AA20" s="196"/>
      <c r="AB20" s="195"/>
      <c r="AC20" s="195"/>
    </row>
    <row r="21" customFormat="false" ht="13.5" hidden="false" customHeight="true" outlineLevel="0" collapsed="false">
      <c r="A21" s="75" t="n">
        <v>12</v>
      </c>
      <c r="B21" s="197"/>
      <c r="C21" s="218"/>
      <c r="D21" s="210"/>
      <c r="E21" s="211"/>
      <c r="F21" s="211"/>
      <c r="G21" s="226"/>
      <c r="H21" s="227"/>
      <c r="I21" s="182"/>
      <c r="J21" s="196"/>
      <c r="K21" s="184"/>
      <c r="L21" s="213"/>
      <c r="M21" s="214"/>
      <c r="N21" s="215"/>
      <c r="O21" s="219"/>
      <c r="P21" s="219"/>
      <c r="Q21" s="228"/>
      <c r="R21" s="189"/>
      <c r="S21" s="190"/>
      <c r="T21" s="190"/>
      <c r="U21" s="190"/>
      <c r="V21" s="191"/>
      <c r="W21" s="208"/>
      <c r="X21" s="223"/>
      <c r="Y21" s="209"/>
      <c r="Z21" s="195"/>
      <c r="AA21" s="196"/>
      <c r="AB21" s="195"/>
      <c r="AC21" s="195"/>
    </row>
    <row r="22" customFormat="false" ht="13.5" hidden="false" customHeight="true" outlineLevel="0" collapsed="false">
      <c r="A22" s="229"/>
      <c r="B22" s="230"/>
      <c r="C22" s="231"/>
      <c r="D22" s="231"/>
      <c r="E22" s="231"/>
      <c r="F22" s="231"/>
      <c r="G22" s="232"/>
      <c r="H22" s="233"/>
      <c r="I22" s="233"/>
      <c r="J22" s="233"/>
      <c r="K22" s="233"/>
      <c r="L22" s="233"/>
      <c r="M22" s="234"/>
      <c r="N22" s="234"/>
      <c r="O22" s="235"/>
      <c r="P22" s="235"/>
      <c r="Q22" s="236"/>
      <c r="R22" s="237"/>
      <c r="S22" s="237"/>
      <c r="T22" s="237"/>
      <c r="U22" s="237"/>
      <c r="V22" s="238"/>
      <c r="W22" s="237"/>
      <c r="X22" s="239"/>
      <c r="Y22" s="240"/>
      <c r="Z22" s="240"/>
      <c r="AA22" s="241"/>
      <c r="AB22" s="240"/>
      <c r="AC22" s="240"/>
    </row>
    <row r="23" customFormat="false" ht="13.5" hidden="false" customHeight="true" outlineLevel="0" collapsed="false">
      <c r="A23" s="242"/>
      <c r="B23" s="242"/>
      <c r="C23" s="68" t="s">
        <v>108</v>
      </c>
      <c r="D23" s="68"/>
      <c r="E23" s="68"/>
      <c r="F23" s="68"/>
      <c r="G23" s="243" t="n">
        <f aca="false">SUM(G10:G22)</f>
        <v>0</v>
      </c>
      <c r="H23" s="243" t="n">
        <f aca="false">SUM(H10:H22)</f>
        <v>0</v>
      </c>
      <c r="I23" s="243" t="n">
        <f aca="false">SUM(I10:I22)</f>
        <v>0</v>
      </c>
      <c r="J23" s="243" t="n">
        <f aca="false">SUM(J10:J22)</f>
        <v>0</v>
      </c>
      <c r="K23" s="243"/>
      <c r="L23" s="244"/>
      <c r="M23" s="244"/>
      <c r="N23" s="244"/>
      <c r="O23" s="244"/>
      <c r="P23" s="244"/>
      <c r="Q23" s="245" t="n">
        <f aca="false">SUM(Q10:Q22)</f>
        <v>0</v>
      </c>
      <c r="R23" s="244"/>
      <c r="S23" s="244"/>
      <c r="T23" s="244"/>
      <c r="U23" s="244"/>
      <c r="V23" s="245" t="n">
        <f aca="false">SUM(V10:V22)</f>
        <v>0</v>
      </c>
      <c r="W23" s="246"/>
      <c r="X23" s="245" t="n">
        <f aca="false">SUM(X10:X22)</f>
        <v>0</v>
      </c>
      <c r="Y23" s="245" t="n">
        <f aca="false">SUM(Y10:Y22)</f>
        <v>0</v>
      </c>
      <c r="Z23" s="245"/>
      <c r="AA23" s="243"/>
      <c r="AB23" s="245" t="n">
        <f aca="false">SUM(AB10:AB22)</f>
        <v>0</v>
      </c>
      <c r="AC23" s="245" t="n">
        <f aca="false">SUM(AC10:AC22)</f>
        <v>0</v>
      </c>
    </row>
  </sheetData>
  <mergeCells count="4">
    <mergeCell ref="C2:J2"/>
    <mergeCell ref="F4:J4"/>
    <mergeCell ref="AA5:AB5"/>
    <mergeCell ref="F6:J6"/>
  </mergeCells>
  <printOptions headings="false" gridLines="false" gridLinesSet="true" horizontalCentered="true" verticalCentered="false"/>
  <pageMargins left="0.196527777777778" right="0.196527777777778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2:X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88671875" defaultRowHeight="12.75" zeroHeight="false" outlineLevelRow="0" outlineLevelCol="0"/>
  <cols>
    <col collapsed="false" customWidth="true" hidden="false" outlineLevel="0" max="1" min="1" style="55" width="5.56"/>
    <col collapsed="false" customWidth="true" hidden="false" outlineLevel="0" max="2" min="2" style="55" width="26.44"/>
    <col collapsed="false" customWidth="true" hidden="false" outlineLevel="0" max="3" min="3" style="55" width="20.66"/>
    <col collapsed="false" customWidth="true" hidden="false" outlineLevel="0" max="4" min="4" style="55" width="10.66"/>
    <col collapsed="false" customWidth="true" hidden="false" outlineLevel="0" max="5" min="5" style="55" width="15"/>
    <col collapsed="false" customWidth="true" hidden="false" outlineLevel="0" max="6" min="6" style="55" width="8.44"/>
    <col collapsed="false" customWidth="true" hidden="false" outlineLevel="0" max="7" min="7" style="55" width="9.44"/>
    <col collapsed="false" customWidth="true" hidden="false" outlineLevel="0" max="8" min="8" style="55" width="8.77"/>
    <col collapsed="false" customWidth="true" hidden="false" outlineLevel="0" max="9" min="9" style="55" width="7.11"/>
    <col collapsed="false" customWidth="true" hidden="false" outlineLevel="0" max="11" min="10" style="55" width="12.67"/>
    <col collapsed="false" customWidth="true" hidden="false" outlineLevel="0" max="12" min="12" style="55" width="11"/>
    <col collapsed="false" customWidth="true" hidden="false" outlineLevel="0" max="13" min="13" style="55" width="12.67"/>
    <col collapsed="false" customWidth="true" hidden="false" outlineLevel="0" max="14" min="14" style="55" width="11.11"/>
    <col collapsed="false" customWidth="true" hidden="false" outlineLevel="0" max="15" min="15" style="55" width="11.33"/>
    <col collapsed="false" customWidth="true" hidden="false" outlineLevel="0" max="16" min="16" style="55" width="11"/>
    <col collapsed="false" customWidth="true" hidden="false" outlineLevel="0" max="19" min="17" style="55" width="12.67"/>
    <col collapsed="false" customWidth="true" hidden="false" outlineLevel="0" max="20" min="20" style="55" width="11"/>
    <col collapsed="false" customWidth="true" hidden="false" outlineLevel="0" max="21" min="21" style="55" width="12.56"/>
    <col collapsed="false" customWidth="true" hidden="false" outlineLevel="0" max="22" min="22" style="55" width="11.22"/>
    <col collapsed="false" customWidth="true" hidden="false" outlineLevel="0" max="24" min="23" style="55" width="10.11"/>
    <col collapsed="false" customWidth="false" hidden="false" outlineLevel="0" max="16384" min="25" style="55" width="8.88"/>
  </cols>
  <sheetData>
    <row r="2" customFormat="false" ht="23.25" hidden="false" customHeight="true" outlineLevel="0" collapsed="false">
      <c r="A2" s="56"/>
      <c r="B2" s="56"/>
      <c r="C2" s="57" t="s">
        <v>144</v>
      </c>
      <c r="D2" s="57"/>
      <c r="E2" s="57"/>
      <c r="F2" s="57"/>
      <c r="G2" s="247"/>
      <c r="H2" s="56"/>
      <c r="I2" s="56"/>
      <c r="J2" s="59"/>
      <c r="K2" s="59"/>
      <c r="L2" s="59"/>
      <c r="M2" s="56"/>
      <c r="N2" s="56"/>
      <c r="O2" s="56"/>
      <c r="P2" s="56"/>
      <c r="Q2" s="56"/>
      <c r="R2" s="56"/>
      <c r="S2" s="56"/>
      <c r="T2" s="56"/>
      <c r="U2" s="56"/>
    </row>
    <row r="3" customFormat="false" ht="12.75" hidden="false" customHeight="false" outlineLevel="0" collapsed="false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</row>
    <row r="4" customFormat="false" ht="13.5" hidden="false" customHeight="true" outlineLevel="0" collapsed="false">
      <c r="A4" s="70" t="s">
        <v>91</v>
      </c>
      <c r="B4" s="70" t="s">
        <v>128</v>
      </c>
      <c r="C4" s="70"/>
      <c r="D4" s="70"/>
      <c r="E4" s="70"/>
      <c r="F4" s="70"/>
      <c r="G4" s="70" t="s">
        <v>93</v>
      </c>
      <c r="H4" s="70"/>
      <c r="I4" s="70" t="s">
        <v>145</v>
      </c>
      <c r="J4" s="70" t="s">
        <v>95</v>
      </c>
      <c r="K4" s="70" t="s">
        <v>146</v>
      </c>
      <c r="L4" s="70" t="s">
        <v>147</v>
      </c>
      <c r="M4" s="70" t="s">
        <v>97</v>
      </c>
      <c r="N4" s="70"/>
      <c r="O4" s="70"/>
      <c r="P4" s="70" t="s">
        <v>130</v>
      </c>
      <c r="Q4" s="70" t="s">
        <v>38</v>
      </c>
      <c r="R4" s="70"/>
      <c r="S4" s="70"/>
      <c r="T4" s="70"/>
      <c r="U4" s="70"/>
      <c r="V4" s="70" t="s">
        <v>148</v>
      </c>
      <c r="W4" s="70"/>
      <c r="X4" s="70"/>
    </row>
    <row r="5" customFormat="false" ht="60" hidden="false" customHeight="true" outlineLevel="0" collapsed="false">
      <c r="A5" s="72"/>
      <c r="B5" s="70" t="s">
        <v>103</v>
      </c>
      <c r="C5" s="70" t="s">
        <v>104</v>
      </c>
      <c r="D5" s="70" t="s">
        <v>107</v>
      </c>
      <c r="E5" s="70" t="s">
        <v>105</v>
      </c>
      <c r="F5" s="70" t="s">
        <v>106</v>
      </c>
      <c r="G5" s="70" t="s">
        <v>108</v>
      </c>
      <c r="H5" s="70" t="s">
        <v>110</v>
      </c>
      <c r="I5" s="70"/>
      <c r="J5" s="70"/>
      <c r="K5" s="70"/>
      <c r="L5" s="70"/>
      <c r="M5" s="70" t="s">
        <v>149</v>
      </c>
      <c r="N5" s="70" t="s">
        <v>150</v>
      </c>
      <c r="O5" s="70" t="s">
        <v>151</v>
      </c>
      <c r="P5" s="70"/>
      <c r="Q5" s="70" t="s">
        <v>152</v>
      </c>
      <c r="R5" s="70" t="s">
        <v>153</v>
      </c>
      <c r="S5" s="70" t="s">
        <v>138</v>
      </c>
      <c r="T5" s="72" t="s">
        <v>154</v>
      </c>
      <c r="U5" s="70" t="s">
        <v>155</v>
      </c>
      <c r="V5" s="70" t="s">
        <v>156</v>
      </c>
      <c r="W5" s="70" t="s">
        <v>157</v>
      </c>
      <c r="X5" s="70" t="s">
        <v>158</v>
      </c>
    </row>
    <row r="6" customFormat="false" ht="13.5" hidden="false" customHeight="true" outlineLevel="0" collapsed="false">
      <c r="A6" s="248" t="n">
        <v>1</v>
      </c>
      <c r="B6" s="249"/>
      <c r="C6" s="249"/>
      <c r="D6" s="250"/>
      <c r="E6" s="251"/>
      <c r="F6" s="251"/>
      <c r="G6" s="252"/>
      <c r="H6" s="252"/>
      <c r="I6" s="253"/>
      <c r="J6" s="254"/>
      <c r="K6" s="255"/>
      <c r="L6" s="256"/>
      <c r="M6" s="215"/>
      <c r="N6" s="215"/>
      <c r="O6" s="257"/>
      <c r="P6" s="214"/>
      <c r="Q6" s="258"/>
      <c r="R6" s="259"/>
      <c r="S6" s="260"/>
      <c r="T6" s="261"/>
      <c r="U6" s="262"/>
      <c r="V6" s="263"/>
      <c r="W6" s="264"/>
      <c r="X6" s="264"/>
    </row>
    <row r="7" s="271" customFormat="true" ht="13.5" hidden="false" customHeight="true" outlineLevel="0" collapsed="false">
      <c r="A7" s="265" t="n">
        <v>2</v>
      </c>
      <c r="B7" s="266"/>
      <c r="C7" s="249"/>
      <c r="D7" s="255"/>
      <c r="E7" s="267"/>
      <c r="F7" s="267"/>
      <c r="G7" s="268"/>
      <c r="H7" s="268"/>
      <c r="I7" s="269"/>
      <c r="J7" s="255"/>
      <c r="K7" s="255"/>
      <c r="L7" s="256"/>
      <c r="M7" s="215"/>
      <c r="N7" s="215"/>
      <c r="O7" s="257"/>
      <c r="P7" s="214"/>
      <c r="Q7" s="258"/>
      <c r="R7" s="259"/>
      <c r="S7" s="260"/>
      <c r="T7" s="261"/>
      <c r="U7" s="262"/>
      <c r="V7" s="270"/>
      <c r="W7" s="264"/>
      <c r="X7" s="264"/>
    </row>
    <row r="8" s="271" customFormat="true" ht="13.5" hidden="false" customHeight="true" outlineLevel="0" collapsed="false">
      <c r="A8" s="248" t="n">
        <v>3</v>
      </c>
      <c r="B8" s="249"/>
      <c r="C8" s="267"/>
      <c r="D8" s="255"/>
      <c r="E8" s="267"/>
      <c r="F8" s="267"/>
      <c r="G8" s="268"/>
      <c r="H8" s="268"/>
      <c r="I8" s="272"/>
      <c r="J8" s="255"/>
      <c r="K8" s="254"/>
      <c r="L8" s="215"/>
      <c r="M8" s="215"/>
      <c r="N8" s="215"/>
      <c r="O8" s="257"/>
      <c r="P8" s="214"/>
      <c r="Q8" s="258"/>
      <c r="R8" s="259"/>
      <c r="S8" s="260"/>
      <c r="T8" s="261"/>
      <c r="U8" s="262"/>
      <c r="V8" s="270"/>
      <c r="W8" s="264"/>
      <c r="X8" s="264"/>
    </row>
    <row r="9" s="271" customFormat="true" ht="13.5" hidden="false" customHeight="true" outlineLevel="0" collapsed="false">
      <c r="A9" s="248" t="n">
        <v>4</v>
      </c>
      <c r="B9" s="273"/>
      <c r="C9" s="249"/>
      <c r="D9" s="255"/>
      <c r="E9" s="267"/>
      <c r="F9" s="267"/>
      <c r="G9" s="268"/>
      <c r="H9" s="268"/>
      <c r="I9" s="272"/>
      <c r="J9" s="255"/>
      <c r="K9" s="255"/>
      <c r="L9" s="215"/>
      <c r="M9" s="215"/>
      <c r="N9" s="215"/>
      <c r="O9" s="257"/>
      <c r="P9" s="214"/>
      <c r="Q9" s="258"/>
      <c r="R9" s="259"/>
      <c r="S9" s="260"/>
      <c r="T9" s="261"/>
      <c r="U9" s="262"/>
      <c r="V9" s="270"/>
      <c r="W9" s="264"/>
      <c r="X9" s="264"/>
    </row>
    <row r="10" s="271" customFormat="true" ht="13.5" hidden="false" customHeight="true" outlineLevel="0" collapsed="false">
      <c r="A10" s="265" t="n">
        <v>5</v>
      </c>
      <c r="B10" s="249"/>
      <c r="C10" s="267"/>
      <c r="D10" s="255"/>
      <c r="E10" s="267"/>
      <c r="F10" s="267"/>
      <c r="G10" s="268"/>
      <c r="H10" s="268"/>
      <c r="I10" s="272"/>
      <c r="J10" s="255"/>
      <c r="K10" s="254"/>
      <c r="L10" s="215"/>
      <c r="M10" s="215"/>
      <c r="N10" s="215"/>
      <c r="O10" s="257"/>
      <c r="P10" s="214"/>
      <c r="Q10" s="258"/>
      <c r="R10" s="259"/>
      <c r="S10" s="260"/>
      <c r="T10" s="261"/>
      <c r="U10" s="262"/>
      <c r="V10" s="270"/>
      <c r="W10" s="264"/>
      <c r="X10" s="264"/>
    </row>
    <row r="11" s="271" customFormat="true" ht="13.5" hidden="false" customHeight="true" outlineLevel="0" collapsed="false">
      <c r="A11" s="248" t="n">
        <v>6</v>
      </c>
      <c r="B11" s="273"/>
      <c r="C11" s="274"/>
      <c r="D11" s="255"/>
      <c r="E11" s="267"/>
      <c r="F11" s="267"/>
      <c r="G11" s="268"/>
      <c r="H11" s="268"/>
      <c r="I11" s="272"/>
      <c r="J11" s="255"/>
      <c r="K11" s="255"/>
      <c r="L11" s="256"/>
      <c r="M11" s="215"/>
      <c r="N11" s="215"/>
      <c r="O11" s="257"/>
      <c r="P11" s="214"/>
      <c r="Q11" s="258"/>
      <c r="R11" s="259"/>
      <c r="S11" s="260"/>
      <c r="T11" s="261"/>
      <c r="U11" s="262"/>
      <c r="V11" s="270"/>
      <c r="W11" s="264"/>
      <c r="X11" s="264"/>
    </row>
    <row r="12" s="271" customFormat="true" ht="13.5" hidden="false" customHeight="true" outlineLevel="0" collapsed="false">
      <c r="A12" s="248" t="n">
        <v>7</v>
      </c>
      <c r="B12" s="273"/>
      <c r="C12" s="274"/>
      <c r="D12" s="255"/>
      <c r="E12" s="267"/>
      <c r="F12" s="267"/>
      <c r="G12" s="268"/>
      <c r="H12" s="268"/>
      <c r="I12" s="272"/>
      <c r="J12" s="255"/>
      <c r="K12" s="255"/>
      <c r="L12" s="256"/>
      <c r="M12" s="215"/>
      <c r="N12" s="215"/>
      <c r="O12" s="257"/>
      <c r="P12" s="214"/>
      <c r="Q12" s="258"/>
      <c r="R12" s="259"/>
      <c r="S12" s="260"/>
      <c r="T12" s="261"/>
      <c r="U12" s="262"/>
      <c r="V12" s="270"/>
      <c r="W12" s="264"/>
      <c r="X12" s="264"/>
    </row>
    <row r="13" s="271" customFormat="true" ht="13.5" hidden="false" customHeight="true" outlineLevel="0" collapsed="false">
      <c r="A13" s="265" t="n">
        <v>8</v>
      </c>
      <c r="B13" s="273"/>
      <c r="C13" s="274"/>
      <c r="D13" s="255"/>
      <c r="E13" s="267"/>
      <c r="F13" s="267"/>
      <c r="G13" s="268"/>
      <c r="H13" s="268"/>
      <c r="I13" s="272"/>
      <c r="J13" s="255"/>
      <c r="K13" s="255"/>
      <c r="L13" s="256"/>
      <c r="M13" s="215"/>
      <c r="N13" s="215"/>
      <c r="O13" s="257"/>
      <c r="P13" s="214"/>
      <c r="Q13" s="258"/>
      <c r="R13" s="259"/>
      <c r="S13" s="260"/>
      <c r="T13" s="261"/>
      <c r="U13" s="262"/>
      <c r="V13" s="270"/>
      <c r="W13" s="264"/>
      <c r="X13" s="264"/>
    </row>
    <row r="14" s="271" customFormat="true" ht="13.5" hidden="false" customHeight="true" outlineLevel="0" collapsed="false">
      <c r="A14" s="248" t="n">
        <v>9</v>
      </c>
      <c r="B14" s="273"/>
      <c r="C14" s="274"/>
      <c r="D14" s="255"/>
      <c r="E14" s="267"/>
      <c r="F14" s="267"/>
      <c r="G14" s="268"/>
      <c r="H14" s="268"/>
      <c r="I14" s="272"/>
      <c r="J14" s="255"/>
      <c r="K14" s="254"/>
      <c r="L14" s="256"/>
      <c r="M14" s="215"/>
      <c r="N14" s="215"/>
      <c r="O14" s="257"/>
      <c r="P14" s="214"/>
      <c r="Q14" s="258"/>
      <c r="R14" s="259"/>
      <c r="S14" s="260"/>
      <c r="T14" s="261"/>
      <c r="U14" s="262"/>
      <c r="V14" s="270"/>
      <c r="W14" s="264"/>
      <c r="X14" s="264"/>
    </row>
    <row r="15" s="271" customFormat="true" ht="13.5" hidden="false" customHeight="true" outlineLevel="0" collapsed="false">
      <c r="A15" s="248" t="n">
        <v>10</v>
      </c>
      <c r="B15" s="273"/>
      <c r="C15" s="274"/>
      <c r="D15" s="255"/>
      <c r="E15" s="267"/>
      <c r="F15" s="267"/>
      <c r="G15" s="268"/>
      <c r="H15" s="268"/>
      <c r="I15" s="272"/>
      <c r="J15" s="255"/>
      <c r="K15" s="255"/>
      <c r="L15" s="256"/>
      <c r="M15" s="215"/>
      <c r="N15" s="215"/>
      <c r="O15" s="257"/>
      <c r="P15" s="214"/>
      <c r="Q15" s="258"/>
      <c r="R15" s="259"/>
      <c r="S15" s="260"/>
      <c r="T15" s="261"/>
      <c r="U15" s="262"/>
      <c r="V15" s="270"/>
      <c r="W15" s="264"/>
      <c r="X15" s="264"/>
    </row>
    <row r="16" customFormat="false" ht="13.5" hidden="false" customHeight="true" outlineLevel="0" collapsed="false">
      <c r="A16" s="265" t="n">
        <v>11</v>
      </c>
      <c r="B16" s="273"/>
      <c r="C16" s="274"/>
      <c r="D16" s="254"/>
      <c r="E16" s="273"/>
      <c r="F16" s="273"/>
      <c r="G16" s="275"/>
      <c r="H16" s="275"/>
      <c r="I16" s="276"/>
      <c r="J16" s="255"/>
      <c r="K16" s="255"/>
      <c r="L16" s="256"/>
      <c r="M16" s="215"/>
      <c r="N16" s="215"/>
      <c r="O16" s="277"/>
      <c r="P16" s="214"/>
      <c r="Q16" s="278"/>
      <c r="R16" s="259"/>
      <c r="S16" s="260"/>
      <c r="T16" s="261"/>
      <c r="U16" s="262"/>
      <c r="V16" s="270"/>
      <c r="W16" s="264"/>
      <c r="X16" s="264"/>
    </row>
    <row r="17" customFormat="false" ht="13.5" hidden="false" customHeight="true" outlineLevel="0" collapsed="false">
      <c r="A17" s="248" t="n">
        <v>12</v>
      </c>
      <c r="B17" s="273"/>
      <c r="C17" s="274"/>
      <c r="D17" s="254"/>
      <c r="E17" s="273"/>
      <c r="F17" s="273"/>
      <c r="G17" s="275"/>
      <c r="H17" s="275"/>
      <c r="I17" s="276"/>
      <c r="J17" s="255"/>
      <c r="K17" s="255"/>
      <c r="L17" s="256"/>
      <c r="M17" s="215"/>
      <c r="N17" s="215"/>
      <c r="O17" s="277"/>
      <c r="P17" s="214"/>
      <c r="Q17" s="278"/>
      <c r="R17" s="259"/>
      <c r="S17" s="260"/>
      <c r="T17" s="261"/>
      <c r="U17" s="262"/>
      <c r="V17" s="270"/>
      <c r="W17" s="264"/>
      <c r="X17" s="264"/>
    </row>
    <row r="18" customFormat="false" ht="13.5" hidden="false" customHeight="true" outlineLevel="0" collapsed="false">
      <c r="A18" s="248" t="n">
        <v>13</v>
      </c>
      <c r="B18" s="273"/>
      <c r="C18" s="274"/>
      <c r="D18" s="254"/>
      <c r="E18" s="273"/>
      <c r="F18" s="273"/>
      <c r="G18" s="275"/>
      <c r="H18" s="275"/>
      <c r="I18" s="276"/>
      <c r="J18" s="255"/>
      <c r="K18" s="255"/>
      <c r="L18" s="256"/>
      <c r="M18" s="256"/>
      <c r="N18" s="256"/>
      <c r="O18" s="277"/>
      <c r="P18" s="214"/>
      <c r="Q18" s="279"/>
      <c r="R18" s="259"/>
      <c r="S18" s="260"/>
      <c r="T18" s="261"/>
      <c r="U18" s="262"/>
      <c r="V18" s="270"/>
      <c r="W18" s="264"/>
      <c r="X18" s="264"/>
    </row>
    <row r="19" customFormat="false" ht="13.5" hidden="false" customHeight="true" outlineLevel="0" collapsed="false">
      <c r="A19" s="265" t="n">
        <v>14</v>
      </c>
      <c r="B19" s="273"/>
      <c r="C19" s="274"/>
      <c r="D19" s="254"/>
      <c r="E19" s="273"/>
      <c r="F19" s="273"/>
      <c r="G19" s="275"/>
      <c r="H19" s="275"/>
      <c r="I19" s="276"/>
      <c r="J19" s="255"/>
      <c r="K19" s="255"/>
      <c r="L19" s="256"/>
      <c r="M19" s="256"/>
      <c r="N19" s="256"/>
      <c r="O19" s="277"/>
      <c r="P19" s="214"/>
      <c r="Q19" s="279"/>
      <c r="R19" s="259"/>
      <c r="S19" s="260"/>
      <c r="T19" s="261"/>
      <c r="U19" s="262"/>
      <c r="V19" s="270"/>
      <c r="W19" s="264"/>
      <c r="X19" s="264"/>
    </row>
    <row r="20" customFormat="false" ht="14.25" hidden="false" customHeight="true" outlineLevel="0" collapsed="false">
      <c r="A20" s="248" t="n">
        <v>15</v>
      </c>
      <c r="B20" s="280"/>
      <c r="C20" s="281"/>
      <c r="D20" s="255"/>
      <c r="E20" s="280"/>
      <c r="F20" s="280"/>
      <c r="G20" s="282"/>
      <c r="H20" s="282"/>
      <c r="I20" s="283"/>
      <c r="J20" s="255"/>
      <c r="K20" s="255"/>
      <c r="L20" s="284"/>
      <c r="M20" s="256"/>
      <c r="N20" s="256"/>
      <c r="O20" s="285"/>
      <c r="P20" s="214"/>
      <c r="Q20" s="286"/>
      <c r="R20" s="287"/>
      <c r="S20" s="288"/>
      <c r="T20" s="261"/>
      <c r="U20" s="262"/>
      <c r="V20" s="270"/>
      <c r="W20" s="289"/>
      <c r="X20" s="264"/>
    </row>
    <row r="21" customFormat="false" ht="14.25" hidden="false" customHeight="true" outlineLevel="0" collapsed="false">
      <c r="A21" s="290" t="s">
        <v>108</v>
      </c>
      <c r="B21" s="291"/>
      <c r="C21" s="290"/>
      <c r="D21" s="290"/>
      <c r="E21" s="292"/>
      <c r="F21" s="292"/>
      <c r="G21" s="293" t="n">
        <f aca="false">SUM(G6:G20)</f>
        <v>0</v>
      </c>
      <c r="H21" s="293" t="n">
        <f aca="false">SUM(H6:H20)</f>
        <v>0</v>
      </c>
      <c r="I21" s="294"/>
      <c r="J21" s="294"/>
      <c r="K21" s="294"/>
      <c r="L21" s="294"/>
      <c r="M21" s="294"/>
      <c r="N21" s="294"/>
      <c r="O21" s="295" t="n">
        <f aca="false">SUM(O6:O20)</f>
        <v>0</v>
      </c>
      <c r="P21" s="294"/>
      <c r="Q21" s="296" t="n">
        <f aca="false">SUM(Q6:Q20)</f>
        <v>0</v>
      </c>
      <c r="R21" s="296" t="n">
        <f aca="false">SUM(R6:R20)</f>
        <v>0</v>
      </c>
      <c r="S21" s="297"/>
      <c r="T21" s="298"/>
      <c r="U21" s="298"/>
      <c r="V21" s="295" t="n">
        <f aca="false">SUM(V6:V20)</f>
        <v>0</v>
      </c>
      <c r="W21" s="299" t="n">
        <f aca="false">SUM(W6:W20)</f>
        <v>0</v>
      </c>
      <c r="X21" s="295"/>
    </row>
  </sheetData>
  <mergeCells count="1">
    <mergeCell ref="C2:F2"/>
  </mergeCells>
  <printOptions headings="false" gridLines="false" gridLinesSet="true" horizontalCentered="true" verticalCentered="false"/>
  <pageMargins left="0.196527777777778" right="0.196527777777778" top="0.7875" bottom="0.7875" header="0.511811023622047" footer="0.511811023622047"/>
  <pageSetup paperSize="1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2007-03-09T13:27:27Z</dcterms:created>
  <dc:creator>ISEC Brasil</dc:creator>
  <dc:description/>
  <dc:language>en-US</dc:language>
  <cp:lastModifiedBy>Guilherme Lago Vanalli</cp:lastModifiedBy>
  <cp:lastPrinted>2010-09-01T12:47:00Z</cp:lastPrinted>
  <dcterms:modified xsi:type="dcterms:W3CDTF">2026-06-12T21:46:48Z</dcterms:modified>
  <cp:revision>0</cp:revision>
  <dc:subject>Securitização</dc:subject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0x01010049C00EDD7F7E6341B79181E66277A96D</vt:lpwstr>
  </property>
  <property fmtid="{D5CDD505-2E9C-101B-9397-08002B2CF9AE}" pid="3" name="MediaServiceImageTags">
    <vt:lpwstr/>
  </property>
</Properties>
</file>